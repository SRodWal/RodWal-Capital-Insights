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RodWal-Capital-Insights/"/>
    </mc:Choice>
  </mc:AlternateContent>
  <xr:revisionPtr revIDLastSave="0" documentId="8_{3940E03F-40F2-446F-B802-5A6941A80F09}" xr6:coauthVersionLast="47" xr6:coauthVersionMax="47" xr10:uidLastSave="{00000000-0000-0000-0000-000000000000}"/>
  <bookViews>
    <workbookView xWindow="-120" yWindow="-120" windowWidth="29040" windowHeight="15720" xr2:uid="{5BDEE608-DC94-4DFB-BEEC-4ACF6FE4ED7C}"/>
  </bookViews>
  <sheets>
    <sheet name="Sheet2" sheetId="2" r:id="rId1"/>
    <sheet name="MAP" sheetId="3" r:id="rId2"/>
    <sheet name="Sheet1" sheetId="1" r:id="rId3"/>
  </sheets>
  <calcPr calcId="191029"/>
  <pivotCaches>
    <pivotCache cacheId="1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2" l="1"/>
  <c r="K31" i="2"/>
  <c r="K30" i="2"/>
  <c r="C27" i="2"/>
  <c r="D27" i="2"/>
  <c r="E27" i="2"/>
  <c r="F27" i="2"/>
  <c r="G27" i="2"/>
  <c r="H27" i="2"/>
  <c r="I27" i="2"/>
  <c r="J27" i="2"/>
  <c r="B27" i="2"/>
  <c r="C28" i="2"/>
  <c r="D28" i="2"/>
  <c r="E28" i="2"/>
  <c r="F28" i="2"/>
  <c r="G28" i="2"/>
  <c r="H28" i="2"/>
  <c r="I28" i="2"/>
  <c r="J28" i="2"/>
  <c r="B28" i="2"/>
  <c r="C31" i="2"/>
  <c r="D31" i="2"/>
  <c r="E31" i="2"/>
  <c r="F31" i="2"/>
  <c r="G31" i="2"/>
  <c r="H31" i="2"/>
  <c r="I31" i="2"/>
  <c r="J31" i="2"/>
  <c r="B31" i="2"/>
  <c r="C30" i="2"/>
  <c r="D30" i="2"/>
  <c r="E30" i="2"/>
  <c r="F30" i="2"/>
  <c r="G30" i="2"/>
  <c r="H30" i="2"/>
  <c r="I30" i="2"/>
  <c r="J30" i="2"/>
  <c r="B30" i="2"/>
  <c r="K27" i="2"/>
  <c r="L27" i="2"/>
  <c r="M27" i="2"/>
  <c r="N27" i="2"/>
  <c r="O27" i="2"/>
  <c r="P27" i="2"/>
  <c r="Q27" i="2"/>
  <c r="R27" i="2"/>
  <c r="S27" i="2"/>
  <c r="T27" i="2"/>
  <c r="U27" i="2"/>
  <c r="V27" i="2"/>
  <c r="K28" i="2"/>
  <c r="L28" i="2"/>
  <c r="M28" i="2"/>
  <c r="N28" i="2"/>
  <c r="O28" i="2"/>
  <c r="P28" i="2"/>
  <c r="Q28" i="2"/>
  <c r="R28" i="2"/>
  <c r="S28" i="2"/>
  <c r="T28" i="2"/>
  <c r="U28" i="2"/>
  <c r="V28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2" i="1"/>
</calcChain>
</file>

<file path=xl/sharedStrings.xml><?xml version="1.0" encoding="utf-8"?>
<sst xmlns="http://schemas.openxmlformats.org/spreadsheetml/2006/main" count="1613" uniqueCount="105">
  <si>
    <t>APA</t>
  </si>
  <si>
    <t>USD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</si>
  <si>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</si>
  <si>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</si>
  <si>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</si>
  <si>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</si>
  <si>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</si>
  <si>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</si>
  <si>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</si>
  <si>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</si>
  <si>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</si>
  <si>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</si>
  <si>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</si>
  <si>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</si>
  <si>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</si>
  <si>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</si>
  <si>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</si>
  <si>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</si>
  <si>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</si>
  <si>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</si>
  <si>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</si>
  <si>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</si>
  <si>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</si>
  <si>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</si>
  <si>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</si>
  <si>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</si>
  <si>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TICK</t>
  </si>
  <si>
    <t>DATE</t>
  </si>
  <si>
    <t>CURR</t>
  </si>
  <si>
    <t>DATUM</t>
  </si>
  <si>
    <t>VALUE</t>
  </si>
  <si>
    <t>RECORD_DATE</t>
  </si>
  <si>
    <t>(All)</t>
  </si>
  <si>
    <t>Sum of VALUE</t>
  </si>
  <si>
    <t>Grand Total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</si>
  <si>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</si>
  <si>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</si>
  <si>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</si>
  <si>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</si>
  <si>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</si>
  <si>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</si>
  <si>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</si>
  <si>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</si>
  <si>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</si>
  <si>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Row Labels</t>
  </si>
  <si>
    <t xml:space="preserve"> </t>
  </si>
  <si>
    <t>Section</t>
  </si>
  <si>
    <t>Row Label</t>
  </si>
  <si>
    <t>Description / Notes</t>
  </si>
  <si>
    <t>Revenue</t>
  </si>
  <si>
    <t>Total sales and operating revenue</t>
  </si>
  <si>
    <t>Net investment income</t>
  </si>
  <si>
    <t>Interest earned</t>
  </si>
  <si>
    <t>Other non-interest income</t>
  </si>
  <si>
    <t>Other income not from core operations</t>
  </si>
  <si>
    <t>Cost of Revenue</t>
  </si>
  <si>
    <t>Direct costs of revenue</t>
  </si>
  <si>
    <t>Direct costs of goods/services sold</t>
  </si>
  <si>
    <t>Gross Profit</t>
  </si>
  <si>
    <t>Revenue minus cost of revenue</t>
  </si>
  <si>
    <t>Operating Expenses</t>
  </si>
  <si>
    <t>SG&amp;A expenses</t>
  </si>
  <si>
    <t>R&amp;D expenses</t>
  </si>
  <si>
    <t>Other operating expenses</t>
  </si>
  <si>
    <t>Depreciation expense</t>
  </si>
  <si>
    <t>Depreciation &amp; amortization combined</t>
  </si>
  <si>
    <t>Operating Income</t>
  </si>
  <si>
    <t>Income from operations</t>
  </si>
  <si>
    <t>Earnings before interest, tax, depreciation, amortization</t>
  </si>
  <si>
    <t>Earnings before interest and tax</t>
  </si>
  <si>
    <t>Interest &amp; Other</t>
  </si>
  <si>
    <t>Interest paid</t>
  </si>
  <si>
    <t>Interest and debt expense</t>
  </si>
  <si>
    <t>Net interest income</t>
  </si>
  <si>
    <t>Income Before Tax</t>
  </si>
  <si>
    <t>Earnings before tax</t>
  </si>
  <si>
    <t>Income Tax</t>
  </si>
  <si>
    <t>Income tax expense</t>
  </si>
  <si>
    <t>Net Income</t>
  </si>
  <si>
    <t>Net profit after tax</t>
  </si>
  <si>
    <t>Net income from ongoing operations</t>
  </si>
  <si>
    <t>Comprehensive Income</t>
  </si>
  <si>
    <t>Net comprehensive income after tax</t>
  </si>
  <si>
    <t>DATUM_LVL1</t>
  </si>
  <si>
    <t>DATUM_LVL2</t>
  </si>
  <si>
    <t>Short Name</t>
  </si>
  <si>
    <t>Investment income</t>
  </si>
  <si>
    <t>Other Revenue</t>
  </si>
  <si>
    <t>COGS</t>
  </si>
  <si>
    <t>SG&amp;A</t>
  </si>
  <si>
    <t>R&amp;D</t>
  </si>
  <si>
    <t>OPEX</t>
  </si>
  <si>
    <t>Depr. &amp; Amort.</t>
  </si>
  <si>
    <t>EBITDA</t>
  </si>
  <si>
    <t>EBIT</t>
  </si>
  <si>
    <t>Interest Expense</t>
  </si>
  <si>
    <t>Net Int. Income</t>
  </si>
  <si>
    <t>Pre-Tax Income</t>
  </si>
  <si>
    <t>Tax</t>
  </si>
  <si>
    <t>Comp. Income</t>
  </si>
  <si>
    <t>Net Income %</t>
  </si>
  <si>
    <t>GP%</t>
  </si>
  <si>
    <t># Shares Millions</t>
  </si>
  <si>
    <t>EPS</t>
  </si>
  <si>
    <t>SPS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</si>
</sst>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74" formatCode="&quot;$&quot;#,##0.00,,_);[Red]\(&quot;$&quot;#,##0.00,,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74" fontId="0" fillId="0" borderId="0" xfId="0" applyNumberFormat="1"/>
    <xf numFmtId="0" fontId="0" fillId="0" borderId="0" xfId="0" applyAlignment="1">
      <alignment horizontal="left" indent="1"/>
    </xf>
    <xf numFmtId="0" fontId="2" fillId="3" borderId="3" xfId="0" applyFont="1" applyFill="1" applyBorder="1" applyAlignment="1">
      <alignment horizontal="left"/>
    </xf>
    <xf numFmtId="9" fontId="2" fillId="3" borderId="3" xfId="1" applyFont="1" applyFill="1" applyBorder="1" applyAlignment="1">
      <alignment horizontal="center" vertical="center"/>
    </xf>
    <xf numFmtId="8" fontId="0" fillId="0" borderId="0" xfId="0" applyNumberFormat="1"/>
  </cellXfs>
  <cellStyles count="2">
    <cellStyle name="Normal" xfId="0" builtinId="0"/>
    <cellStyle name="Percent" xfId="1" builtinId="5"/>
  </cellStyles>
  <dxfs count="87"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4" formatCode="&quot;$&quot;#,##0.00,,_);[Red]\(&quot;$&quot;#,##0.00,,\)"/>
    </dxf>
    <dxf>
      <numFmt numFmtId="174" formatCode="&quot;$&quot;#,##0.00,,_);[Red]\(&quot;$&quot;#,##0.00,,\)"/>
    </dxf>
    <dxf>
      <numFmt numFmtId="172" formatCode="#,##0.00,,;[Red]\(#,##0.00,,\)"/>
    </dxf>
    <dxf>
      <numFmt numFmtId="173" formatCode="#,##0,,;[Red]\(#,##0,,\)"/>
    </dxf>
    <dxf>
      <numFmt numFmtId="171" formatCode="#,##0.00,,\);[Red]\(#,##0.00,,\)"/>
    </dxf>
    <dxf>
      <numFmt numFmtId="173" formatCode="#,##0,,;[Red]\(#,##0,,\)"/>
    </dxf>
    <dxf>
      <numFmt numFmtId="171" formatCode="#,##0.00,,\);[Red]\(#,##0.00,,\)"/>
    </dxf>
    <dxf>
      <numFmt numFmtId="172" formatCode="#,##0.00,,;[Red]\(#,##0.00,,\)"/>
    </dxf>
    <dxf>
      <numFmt numFmtId="172" formatCode="#,##0.00,,;[Red]\(#,##0.00,,\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166" formatCode="&quot;$&quot;#,###,,"/>
    </dxf>
    <dxf>
      <numFmt numFmtId="166" formatCode="&quot;$&quot;#,###,,"/>
    </dxf>
    <dxf>
      <numFmt numFmtId="166" formatCode="&quot;$&quot;#,###,,"/>
    </dxf>
    <dxf>
      <numFmt numFmtId="166" formatCode="&quot;$&quot;#,###,,"/>
    </dxf>
    <dxf>
      <numFmt numFmtId="166" formatCode="&quot;$&quot;#,###,,"/>
    </dxf>
    <dxf>
      <numFmt numFmtId="166" formatCode="&quot;$&quot;#,###,,"/>
    </dxf>
    <dxf>
      <numFmt numFmtId="166" formatCode="&quot;$&quot;#,###,,"/>
    </dxf>
    <dxf>
      <numFmt numFmtId="166" formatCode="&quot;$&quot;#,###,,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5994.971336574075" createdVersion="8" refreshedVersion="8" minRefreshableVersion="3" recordCount="480" xr:uid="{B697421F-6F31-486C-9A7A-F85D7FF76277}">
  <cacheSource type="worksheet">
    <worksheetSource ref="A1:H481" sheet="Sheet1"/>
  </cacheSource>
  <cacheFields count="11">
    <cacheField name="TICK" numFmtId="0">
      <sharedItems count="1">
        <s v="APA"/>
      </sharedItems>
    </cacheField>
    <cacheField name="DATE" numFmtId="14">
      <sharedItems containsSemiMixedTypes="0" containsNonDate="0" containsDate="1" containsString="0" minDate="2005-12-31T00:00:00" maxDate="2025-01-01T00:00:00" count="20">
        <d v="2024-12-31T00:00:00"/>
        <d v="2023-12-31T00:00:00"/>
        <d v="2022-12-31T00:00:00"/>
        <d v="2021-12-31T00:00:00"/>
        <d v="2020-12-31T00:00:00"/>
        <d v="2019-12-31T00:00:00"/>
        <d v="2018-12-31T00:00:00"/>
        <d v="2017-12-31T00:00:00"/>
        <d v="2016-12-31T00:00:00"/>
        <d v="2015-12-31T00:00:00"/>
        <d v="2014-12-31T00:00:00"/>
        <d v="2013-12-31T00:00:00"/>
        <d v="2012-12-31T00:00:00"/>
        <d v="2011-12-31T00:00:00"/>
        <d v="2010-12-31T00:00:00"/>
        <d v="2009-12-31T00:00:00"/>
        <d v="2008-12-31T00:00:00"/>
        <d v="2007-12-31T00:00:00"/>
        <d v="2006-12-31T00:00:00"/>
        <d v="2005-12-31T00:00:00"/>
      </sharedItems>
      <fieldGroup par="10"/>
    </cacheField>
    <cacheField name="CURR" numFmtId="0">
      <sharedItems count="1">
        <s v="USD"/>
      </sharedItems>
    </cacheField>
    <cacheField name="DATUM" numFmtId="0">
      <sharedItems count="24">
        <s v="grossProfit"/>
        <s v="totalRevenue"/>
        <s v="costOfRevenue"/>
        <s v="costofGoodsAndServicesSold"/>
        <s v="operatingIncome"/>
        <s v="sellingGeneralAndAdministrative"/>
        <s v="researchAndDevelopment"/>
        <s v="operatingExpenses"/>
        <s v="investmentIncomeNet"/>
        <s v="netInterestIncome"/>
        <s v="interestIncome"/>
        <s v="interestExpense"/>
        <s v="nonInterestIncome"/>
        <s v="otherNonOperatingIncome"/>
        <s v="depreciation"/>
        <s v="depreciationAndAmortization"/>
        <s v="incomeBeforeTax"/>
        <s v="incomeTaxExpense"/>
        <s v="interestAndDebtExpense"/>
        <s v="netIncomeFromContinuingOperations"/>
        <s v="comprehensiveIncomeNetOfTax"/>
        <s v="ebit"/>
        <s v="ebitda"/>
        <s v="netIncome"/>
      </sharedItems>
    </cacheField>
    <cacheField name="VALUE" numFmtId="0">
      <sharedItems containsString="0" containsBlank="1" containsNumber="1" containsInteger="1" minValue="-28226000000" maxValue="31437000000"/>
    </cacheField>
    <cacheField name="RECORD_DATE" numFmtId="22">
      <sharedItems containsSemiMixedTypes="0" containsNonDate="0" containsDate="1" containsString="0" minDate="2025-11-25T02:50:47" maxDate="2025-11-25T02:50:47"/>
    </cacheField>
    <cacheField name="DATUM_LVL1" numFmtId="0">
      <sharedItems count="10">
        <s v="Gross Profit"/>
        <s v="Revenue"/>
        <s v="Cost of Revenue"/>
        <s v="Operating Income"/>
        <s v="Operating Expenses"/>
        <s v="Interest &amp; Other"/>
        <s v="Income Before Tax"/>
        <s v="Income Tax"/>
        <s v="Net Income"/>
        <s v="Comprehensive Income"/>
      </sharedItems>
    </cacheField>
    <cacheField name="DATUM_LVL2" numFmtId="0">
      <sharedItems count="18">
        <s v="Gross Profit"/>
        <s v="Revenue"/>
        <s v="COGS"/>
        <s v="Operating Income"/>
        <s v="SG&amp;A"/>
        <s v="R&amp;D"/>
        <s v="OPEX"/>
        <s v="Investment income"/>
        <s v="Net Int. Income"/>
        <s v="Interest Expense"/>
        <s v="Other Revenue"/>
        <s v="Depr. &amp; Amort."/>
        <s v="Pre-Tax Income"/>
        <s v="Tax"/>
        <s v="Net Income"/>
        <s v="Comp. Income"/>
        <s v="EBIT"/>
        <s v="EBITDA"/>
      </sharedItems>
    </cacheField>
    <cacheField name="Months (DATE)" numFmtId="0" databaseField="0">
      <fieldGroup base="1">
        <rangePr groupBy="months" startDate="2005-12-31T00:00:00" endDate="2025-01-01T00:00:00"/>
        <groupItems count="14">
          <s v="&lt;12/31/20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Quarters (DATE)" numFmtId="0" databaseField="0">
      <fieldGroup base="1">
        <rangePr groupBy="quarters" startDate="2005-12-31T00:00:00" endDate="2025-01-01T00:00:00"/>
        <groupItems count="6">
          <s v="&lt;12/31/2005"/>
          <s v="Qtr1"/>
          <s v="Qtr2"/>
          <s v="Qtr3"/>
          <s v="Qtr4"/>
          <s v="&gt;1/1/2025"/>
        </groupItems>
      </fieldGroup>
    </cacheField>
    <cacheField name="Years (DATE)" numFmtId="0" databaseField="0">
      <fieldGroup base="1">
        <rangePr groupBy="years" startDate="2005-12-31T00:00:00" endDate="2025-01-01T00:00:00"/>
        <groupItems count="23">
          <s v="&lt;12/31/2005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x v="0"/>
    <x v="0"/>
    <x v="0"/>
    <x v="0"/>
    <n v="4302000000"/>
    <d v="2025-11-25T02:50:47"/>
    <x v="0"/>
    <x v="0"/>
  </r>
  <r>
    <x v="0"/>
    <x v="1"/>
    <x v="0"/>
    <x v="0"/>
    <n v="4227000000"/>
    <d v="2025-11-25T02:50:47"/>
    <x v="0"/>
    <x v="0"/>
  </r>
  <r>
    <x v="0"/>
    <x v="2"/>
    <x v="0"/>
    <x v="0"/>
    <n v="6255000000"/>
    <d v="2025-11-25T02:50:47"/>
    <x v="0"/>
    <x v="0"/>
  </r>
  <r>
    <x v="0"/>
    <x v="3"/>
    <x v="0"/>
    <x v="0"/>
    <n v="3540000000"/>
    <d v="2025-11-25T02:50:47"/>
    <x v="0"/>
    <x v="0"/>
  </r>
  <r>
    <x v="0"/>
    <x v="4"/>
    <x v="0"/>
    <x v="0"/>
    <n v="905000000"/>
    <d v="2025-11-25T02:50:47"/>
    <x v="0"/>
    <x v="0"/>
  </r>
  <r>
    <x v="0"/>
    <x v="5"/>
    <x v="0"/>
    <x v="0"/>
    <n v="1916000000"/>
    <d v="2025-11-25T02:50:47"/>
    <x v="0"/>
    <x v="0"/>
  </r>
  <r>
    <x v="0"/>
    <x v="6"/>
    <x v="0"/>
    <x v="0"/>
    <n v="3156000000"/>
    <d v="2025-11-25T02:50:47"/>
    <x v="0"/>
    <x v="0"/>
  </r>
  <r>
    <x v="0"/>
    <x v="7"/>
    <x v="0"/>
    <x v="0"/>
    <n v="2028000000"/>
    <d v="2025-11-25T02:50:47"/>
    <x v="0"/>
    <x v="0"/>
  </r>
  <r>
    <x v="0"/>
    <x v="8"/>
    <x v="0"/>
    <x v="0"/>
    <n v="1055000000"/>
    <d v="2025-11-25T02:50:47"/>
    <x v="0"/>
    <x v="0"/>
  </r>
  <r>
    <x v="0"/>
    <x v="9"/>
    <x v="0"/>
    <x v="0"/>
    <n v="-25054000000"/>
    <d v="2025-11-25T02:50:47"/>
    <x v="0"/>
    <x v="0"/>
  </r>
  <r>
    <x v="0"/>
    <x v="10"/>
    <x v="0"/>
    <x v="0"/>
    <n v="839000000"/>
    <d v="2025-11-25T02:50:47"/>
    <x v="0"/>
    <x v="0"/>
  </r>
  <r>
    <x v="0"/>
    <x v="11"/>
    <x v="0"/>
    <x v="0"/>
    <n v="6349000000"/>
    <d v="2025-11-25T02:50:47"/>
    <x v="0"/>
    <x v="0"/>
  </r>
  <r>
    <x v="0"/>
    <x v="12"/>
    <x v="0"/>
    <x v="0"/>
    <n v="6567000000"/>
    <d v="2025-11-25T02:50:47"/>
    <x v="0"/>
    <x v="0"/>
  </r>
  <r>
    <x v="0"/>
    <x v="13"/>
    <x v="0"/>
    <x v="0"/>
    <n v="9705000000"/>
    <d v="2025-11-25T02:50:47"/>
    <x v="0"/>
    <x v="0"/>
  </r>
  <r>
    <x v="0"/>
    <x v="14"/>
    <x v="0"/>
    <x v="0"/>
    <n v="6890000000"/>
    <d v="2025-11-25T02:50:47"/>
    <x v="0"/>
    <x v="0"/>
  </r>
  <r>
    <x v="0"/>
    <x v="15"/>
    <x v="0"/>
    <x v="0"/>
    <n v="8471826000"/>
    <d v="2025-11-25T02:50:47"/>
    <x v="0"/>
    <x v="0"/>
  </r>
  <r>
    <x v="0"/>
    <x v="16"/>
    <x v="0"/>
    <x v="0"/>
    <n v="10323634000"/>
    <d v="2025-11-25T02:50:47"/>
    <x v="0"/>
    <x v="0"/>
  </r>
  <r>
    <x v="0"/>
    <x v="17"/>
    <x v="0"/>
    <x v="0"/>
    <n v="8137949000"/>
    <d v="2025-11-25T02:50:47"/>
    <x v="0"/>
    <x v="0"/>
  </r>
  <r>
    <x v="0"/>
    <x v="18"/>
    <x v="0"/>
    <x v="0"/>
    <n v="6607557000"/>
    <d v="2025-11-25T02:50:47"/>
    <x v="0"/>
    <x v="0"/>
  </r>
  <r>
    <x v="0"/>
    <x v="19"/>
    <x v="0"/>
    <x v="0"/>
    <n v="6443509000"/>
    <d v="2025-11-25T02:50:47"/>
    <x v="0"/>
    <x v="0"/>
  </r>
  <r>
    <x v="0"/>
    <x v="0"/>
    <x v="0"/>
    <x v="1"/>
    <n v="9737000000"/>
    <d v="2025-11-25T02:50:47"/>
    <x v="1"/>
    <x v="1"/>
  </r>
  <r>
    <x v="0"/>
    <x v="1"/>
    <x v="0"/>
    <x v="1"/>
    <n v="8279000000"/>
    <d v="2025-11-25T02:50:47"/>
    <x v="1"/>
    <x v="1"/>
  </r>
  <r>
    <x v="0"/>
    <x v="2"/>
    <x v="0"/>
    <x v="1"/>
    <n v="11075000000"/>
    <d v="2025-11-25T02:50:47"/>
    <x v="1"/>
    <x v="1"/>
  </r>
  <r>
    <x v="0"/>
    <x v="3"/>
    <x v="0"/>
    <x v="1"/>
    <n v="7985000000"/>
    <d v="2025-11-25T02:50:47"/>
    <x v="1"/>
    <x v="1"/>
  </r>
  <r>
    <x v="0"/>
    <x v="4"/>
    <x v="0"/>
    <x v="1"/>
    <n v="4435000000"/>
    <d v="2025-11-25T02:50:47"/>
    <x v="1"/>
    <x v="1"/>
  </r>
  <r>
    <x v="0"/>
    <x v="5"/>
    <x v="0"/>
    <x v="1"/>
    <n v="6491000000"/>
    <d v="2025-11-25T02:50:47"/>
    <x v="1"/>
    <x v="1"/>
  </r>
  <r>
    <x v="0"/>
    <x v="6"/>
    <x v="0"/>
    <x v="1"/>
    <n v="7348000000"/>
    <d v="2025-11-25T02:50:47"/>
    <x v="1"/>
    <x v="1"/>
  </r>
  <r>
    <x v="0"/>
    <x v="7"/>
    <x v="0"/>
    <x v="1"/>
    <n v="5887000000"/>
    <d v="2025-11-25T02:50:47"/>
    <x v="1"/>
    <x v="1"/>
  </r>
  <r>
    <x v="0"/>
    <x v="8"/>
    <x v="0"/>
    <x v="1"/>
    <n v="5367000000"/>
    <d v="2025-11-25T02:50:47"/>
    <x v="1"/>
    <x v="1"/>
  </r>
  <r>
    <x v="0"/>
    <x v="9"/>
    <x v="0"/>
    <x v="1"/>
    <n v="6383000000"/>
    <d v="2025-11-25T02:50:47"/>
    <x v="1"/>
    <x v="1"/>
  </r>
  <r>
    <x v="0"/>
    <x v="10"/>
    <x v="0"/>
    <x v="1"/>
    <n v="13749000000"/>
    <d v="2025-11-25T02:50:47"/>
    <x v="1"/>
    <x v="1"/>
  </r>
  <r>
    <x v="0"/>
    <x v="11"/>
    <x v="0"/>
    <x v="1"/>
    <n v="16402000000"/>
    <d v="2025-11-25T02:50:47"/>
    <x v="1"/>
    <x v="1"/>
  </r>
  <r>
    <x v="0"/>
    <x v="12"/>
    <x v="0"/>
    <x v="1"/>
    <n v="16947000000"/>
    <d v="2025-11-25T02:50:47"/>
    <x v="1"/>
    <x v="1"/>
  </r>
  <r>
    <x v="0"/>
    <x v="13"/>
    <x v="0"/>
    <x v="1"/>
    <n v="16810000000"/>
    <d v="2025-11-25T02:50:47"/>
    <x v="1"/>
    <x v="1"/>
  </r>
  <r>
    <x v="0"/>
    <x v="14"/>
    <x v="0"/>
    <x v="1"/>
    <n v="12183000000"/>
    <d v="2025-11-25T02:50:47"/>
    <x v="1"/>
    <x v="1"/>
  </r>
  <r>
    <x v="0"/>
    <x v="15"/>
    <x v="0"/>
    <x v="1"/>
    <n v="8614826000"/>
    <d v="2025-11-25T02:50:47"/>
    <x v="1"/>
    <x v="1"/>
  </r>
  <r>
    <x v="0"/>
    <x v="16"/>
    <x v="0"/>
    <x v="1"/>
    <n v="12389750000"/>
    <d v="2025-11-25T02:50:47"/>
    <x v="1"/>
    <x v="1"/>
  </r>
  <r>
    <x v="0"/>
    <x v="17"/>
    <x v="0"/>
    <x v="1"/>
    <n v="9961982000"/>
    <d v="2025-11-25T02:50:47"/>
    <x v="1"/>
    <x v="1"/>
  </r>
  <r>
    <x v="0"/>
    <x v="18"/>
    <x v="0"/>
    <x v="1"/>
    <n v="8074253000"/>
    <d v="2025-11-25T02:50:47"/>
    <x v="1"/>
    <x v="1"/>
  </r>
  <r>
    <x v="0"/>
    <x v="19"/>
    <x v="0"/>
    <x v="1"/>
    <n v="7584244000"/>
    <d v="2025-11-25T02:50:47"/>
    <x v="1"/>
    <x v="1"/>
  </r>
  <r>
    <x v="0"/>
    <x v="0"/>
    <x v="0"/>
    <x v="2"/>
    <n v="5435000000"/>
    <d v="2025-11-25T02:50:47"/>
    <x v="2"/>
    <x v="2"/>
  </r>
  <r>
    <x v="0"/>
    <x v="1"/>
    <x v="0"/>
    <x v="2"/>
    <n v="4052000000"/>
    <d v="2025-11-25T02:50:47"/>
    <x v="2"/>
    <x v="2"/>
  </r>
  <r>
    <x v="0"/>
    <x v="2"/>
    <x v="0"/>
    <x v="2"/>
    <n v="4820000000"/>
    <d v="2025-11-25T02:50:47"/>
    <x v="2"/>
    <x v="2"/>
  </r>
  <r>
    <x v="0"/>
    <x v="3"/>
    <x v="0"/>
    <x v="2"/>
    <n v="4445000000"/>
    <d v="2025-11-25T02:50:47"/>
    <x v="2"/>
    <x v="2"/>
  </r>
  <r>
    <x v="0"/>
    <x v="4"/>
    <x v="0"/>
    <x v="2"/>
    <n v="3530000000"/>
    <d v="2025-11-25T02:50:47"/>
    <x v="2"/>
    <x v="2"/>
  </r>
  <r>
    <x v="0"/>
    <x v="5"/>
    <x v="0"/>
    <x v="2"/>
    <n v="4575000000"/>
    <d v="2025-11-25T02:50:47"/>
    <x v="2"/>
    <x v="2"/>
  </r>
  <r>
    <x v="0"/>
    <x v="6"/>
    <x v="0"/>
    <x v="2"/>
    <n v="4192000000"/>
    <d v="2025-11-25T02:50:47"/>
    <x v="2"/>
    <x v="2"/>
  </r>
  <r>
    <x v="0"/>
    <x v="7"/>
    <x v="0"/>
    <x v="2"/>
    <n v="3859000000"/>
    <d v="2025-11-25T02:50:47"/>
    <x v="2"/>
    <x v="2"/>
  </r>
  <r>
    <x v="0"/>
    <x v="8"/>
    <x v="0"/>
    <x v="2"/>
    <n v="4312000000"/>
    <d v="2025-11-25T02:50:47"/>
    <x v="2"/>
    <x v="2"/>
  </r>
  <r>
    <x v="0"/>
    <x v="9"/>
    <x v="0"/>
    <x v="2"/>
    <n v="31437000000"/>
    <d v="2025-11-25T02:50:47"/>
    <x v="2"/>
    <x v="2"/>
  </r>
  <r>
    <x v="0"/>
    <x v="10"/>
    <x v="0"/>
    <x v="2"/>
    <n v="12910000000"/>
    <d v="2025-11-25T02:50:47"/>
    <x v="2"/>
    <x v="2"/>
  </r>
  <r>
    <x v="0"/>
    <x v="11"/>
    <x v="0"/>
    <x v="2"/>
    <n v="10053000000"/>
    <d v="2025-11-25T02:50:47"/>
    <x v="2"/>
    <x v="2"/>
  </r>
  <r>
    <x v="0"/>
    <x v="12"/>
    <x v="0"/>
    <x v="2"/>
    <n v="10380000000"/>
    <d v="2025-11-25T02:50:47"/>
    <x v="2"/>
    <x v="2"/>
  </r>
  <r>
    <x v="0"/>
    <x v="13"/>
    <x v="0"/>
    <x v="2"/>
    <n v="7105000000"/>
    <d v="2025-11-25T02:50:47"/>
    <x v="2"/>
    <x v="2"/>
  </r>
  <r>
    <x v="0"/>
    <x v="14"/>
    <x v="0"/>
    <x v="2"/>
    <n v="5293000000"/>
    <d v="2025-11-25T02:50:47"/>
    <x v="2"/>
    <x v="2"/>
  </r>
  <r>
    <x v="0"/>
    <x v="15"/>
    <x v="0"/>
    <x v="2"/>
    <n v="143000000"/>
    <d v="2025-11-25T02:50:47"/>
    <x v="2"/>
    <x v="2"/>
  </r>
  <r>
    <x v="0"/>
    <x v="16"/>
    <x v="0"/>
    <x v="2"/>
    <n v="2066116000"/>
    <d v="2025-11-25T02:50:47"/>
    <x v="2"/>
    <x v="2"/>
  </r>
  <r>
    <x v="0"/>
    <x v="17"/>
    <x v="0"/>
    <x v="2"/>
    <n v="1824033000"/>
    <d v="2025-11-25T02:50:47"/>
    <x v="2"/>
    <x v="2"/>
  </r>
  <r>
    <x v="0"/>
    <x v="18"/>
    <x v="0"/>
    <x v="2"/>
    <n v="1466696000"/>
    <d v="2025-11-25T02:50:47"/>
    <x v="2"/>
    <x v="2"/>
  </r>
  <r>
    <x v="0"/>
    <x v="19"/>
    <x v="0"/>
    <x v="2"/>
    <n v="1140735000"/>
    <d v="2025-11-25T02:50:47"/>
    <x v="2"/>
    <x v="2"/>
  </r>
  <r>
    <x v="0"/>
    <x v="0"/>
    <x v="0"/>
    <x v="3"/>
    <n v="5435000000"/>
    <d v="2025-11-25T02:50:47"/>
    <x v="2"/>
    <x v="2"/>
  </r>
  <r>
    <x v="0"/>
    <x v="1"/>
    <x v="0"/>
    <x v="3"/>
    <n v="4052000000"/>
    <d v="2025-11-25T02:50:47"/>
    <x v="2"/>
    <x v="2"/>
  </r>
  <r>
    <x v="0"/>
    <x v="2"/>
    <x v="0"/>
    <x v="3"/>
    <n v="4820000000"/>
    <d v="2025-11-25T02:50:47"/>
    <x v="2"/>
    <x v="2"/>
  </r>
  <r>
    <x v="0"/>
    <x v="3"/>
    <x v="0"/>
    <x v="3"/>
    <n v="4445000000"/>
    <d v="2025-11-25T02:50:47"/>
    <x v="2"/>
    <x v="2"/>
  </r>
  <r>
    <x v="0"/>
    <x v="4"/>
    <x v="0"/>
    <x v="3"/>
    <n v="3530000000"/>
    <d v="2025-11-25T02:50:47"/>
    <x v="2"/>
    <x v="2"/>
  </r>
  <r>
    <x v="0"/>
    <x v="5"/>
    <x v="0"/>
    <x v="3"/>
    <n v="4575000000"/>
    <d v="2025-11-25T02:50:47"/>
    <x v="2"/>
    <x v="2"/>
  </r>
  <r>
    <x v="0"/>
    <x v="6"/>
    <x v="0"/>
    <x v="3"/>
    <n v="4192000000"/>
    <d v="2025-11-25T02:50:47"/>
    <x v="2"/>
    <x v="2"/>
  </r>
  <r>
    <x v="0"/>
    <x v="7"/>
    <x v="0"/>
    <x v="3"/>
    <n v="3859000000"/>
    <d v="2025-11-25T02:50:47"/>
    <x v="2"/>
    <x v="2"/>
  </r>
  <r>
    <x v="0"/>
    <x v="8"/>
    <x v="0"/>
    <x v="3"/>
    <n v="4312000000"/>
    <d v="2025-11-25T02:50:47"/>
    <x v="2"/>
    <x v="2"/>
  </r>
  <r>
    <x v="0"/>
    <x v="9"/>
    <x v="0"/>
    <x v="3"/>
    <n v="31437000000"/>
    <d v="2025-11-25T02:50:47"/>
    <x v="2"/>
    <x v="2"/>
  </r>
  <r>
    <x v="0"/>
    <x v="10"/>
    <x v="0"/>
    <x v="3"/>
    <n v="12910000000"/>
    <d v="2025-11-25T02:50:47"/>
    <x v="2"/>
    <x v="2"/>
  </r>
  <r>
    <x v="0"/>
    <x v="11"/>
    <x v="0"/>
    <x v="3"/>
    <n v="10053000000"/>
    <d v="2025-11-25T02:50:47"/>
    <x v="2"/>
    <x v="2"/>
  </r>
  <r>
    <x v="0"/>
    <x v="12"/>
    <x v="0"/>
    <x v="3"/>
    <n v="10380000000"/>
    <d v="2025-11-25T02:50:47"/>
    <x v="2"/>
    <x v="2"/>
  </r>
  <r>
    <x v="0"/>
    <x v="13"/>
    <x v="0"/>
    <x v="3"/>
    <n v="7105000000"/>
    <d v="2025-11-25T02:50:47"/>
    <x v="2"/>
    <x v="2"/>
  </r>
  <r>
    <x v="0"/>
    <x v="14"/>
    <x v="0"/>
    <x v="3"/>
    <n v="5293000000"/>
    <d v="2025-11-25T02:50:47"/>
    <x v="2"/>
    <x v="2"/>
  </r>
  <r>
    <x v="0"/>
    <x v="15"/>
    <x v="0"/>
    <x v="3"/>
    <n v="143000000"/>
    <d v="2025-11-25T02:50:47"/>
    <x v="2"/>
    <x v="2"/>
  </r>
  <r>
    <x v="0"/>
    <x v="16"/>
    <x v="0"/>
    <x v="3"/>
    <n v="2066116000"/>
    <d v="2025-11-25T02:50:47"/>
    <x v="2"/>
    <x v="2"/>
  </r>
  <r>
    <x v="0"/>
    <x v="17"/>
    <x v="0"/>
    <x v="3"/>
    <n v="1824033000"/>
    <d v="2025-11-25T02:50:47"/>
    <x v="2"/>
    <x v="2"/>
  </r>
  <r>
    <x v="0"/>
    <x v="18"/>
    <x v="0"/>
    <x v="3"/>
    <n v="1466696000"/>
    <d v="2025-11-25T02:50:47"/>
    <x v="2"/>
    <x v="2"/>
  </r>
  <r>
    <x v="0"/>
    <x v="19"/>
    <x v="0"/>
    <x v="3"/>
    <n v="1140735000"/>
    <d v="2025-11-25T02:50:47"/>
    <x v="2"/>
    <x v="2"/>
  </r>
  <r>
    <x v="0"/>
    <x v="0"/>
    <x v="0"/>
    <x v="4"/>
    <n v="3199000000"/>
    <d v="2025-11-25T02:50:47"/>
    <x v="3"/>
    <x v="3"/>
  </r>
  <r>
    <x v="0"/>
    <x v="1"/>
    <x v="0"/>
    <x v="4"/>
    <n v="3358000000"/>
    <d v="2025-11-25T02:50:47"/>
    <x v="3"/>
    <x v="3"/>
  </r>
  <r>
    <x v="0"/>
    <x v="2"/>
    <x v="0"/>
    <x v="4"/>
    <n v="5082000000"/>
    <d v="2025-11-25T02:50:47"/>
    <x v="3"/>
    <x v="3"/>
  </r>
  <r>
    <x v="0"/>
    <x v="3"/>
    <x v="0"/>
    <x v="4"/>
    <n v="2692000000"/>
    <d v="2025-11-25T02:50:47"/>
    <x v="3"/>
    <x v="3"/>
  </r>
  <r>
    <x v="0"/>
    <x v="4"/>
    <x v="0"/>
    <x v="4"/>
    <n v="173000000"/>
    <d v="2025-11-25T02:50:47"/>
    <x v="3"/>
    <x v="3"/>
  </r>
  <r>
    <x v="0"/>
    <x v="5"/>
    <x v="0"/>
    <x v="4"/>
    <n v="445000000"/>
    <d v="2025-11-25T02:50:47"/>
    <x v="3"/>
    <x v="3"/>
  </r>
  <r>
    <x v="0"/>
    <x v="6"/>
    <x v="0"/>
    <x v="4"/>
    <n v="1969000000"/>
    <d v="2025-11-25T02:50:47"/>
    <x v="3"/>
    <x v="3"/>
  </r>
  <r>
    <x v="0"/>
    <x v="7"/>
    <x v="0"/>
    <x v="4"/>
    <n v="847000000"/>
    <d v="2025-11-25T02:50:47"/>
    <x v="3"/>
    <x v="3"/>
  </r>
  <r>
    <x v="0"/>
    <x v="8"/>
    <x v="0"/>
    <x v="4"/>
    <n v="-144000000"/>
    <d v="2025-11-25T02:50:47"/>
    <x v="3"/>
    <x v="3"/>
  </r>
  <r>
    <x v="0"/>
    <x v="9"/>
    <x v="0"/>
    <x v="4"/>
    <n v="-25875000000"/>
    <d v="2025-11-25T02:50:47"/>
    <x v="3"/>
    <x v="3"/>
  </r>
  <r>
    <x v="0"/>
    <x v="10"/>
    <x v="0"/>
    <x v="4"/>
    <n v="-636000000"/>
    <d v="2025-11-25T02:50:47"/>
    <x v="3"/>
    <x v="3"/>
  </r>
  <r>
    <x v="0"/>
    <x v="11"/>
    <x v="0"/>
    <x v="4"/>
    <n v="4822000000"/>
    <d v="2025-11-25T02:50:47"/>
    <x v="3"/>
    <x v="3"/>
  </r>
  <r>
    <x v="0"/>
    <x v="12"/>
    <x v="0"/>
    <x v="4"/>
    <n v="5073000000"/>
    <d v="2025-11-25T02:50:47"/>
    <x v="3"/>
    <x v="3"/>
  </r>
  <r>
    <x v="0"/>
    <x v="13"/>
    <x v="0"/>
    <x v="4"/>
    <n v="8315000000"/>
    <d v="2025-11-25T02:50:47"/>
    <x v="3"/>
    <x v="3"/>
  </r>
  <r>
    <x v="0"/>
    <x v="14"/>
    <x v="0"/>
    <x v="4"/>
    <n v="5618000000"/>
    <d v="2025-11-25T02:50:47"/>
    <x v="3"/>
    <x v="3"/>
  </r>
  <r>
    <x v="0"/>
    <x v="15"/>
    <x v="0"/>
    <x v="4"/>
    <n v="568000000"/>
    <d v="2025-11-25T02:50:47"/>
    <x v="3"/>
    <x v="3"/>
  </r>
  <r>
    <x v="0"/>
    <x v="16"/>
    <x v="0"/>
    <x v="4"/>
    <n v="1188902000"/>
    <d v="2025-11-25T02:50:47"/>
    <x v="3"/>
    <x v="3"/>
  </r>
  <r>
    <x v="0"/>
    <x v="17"/>
    <x v="0"/>
    <x v="4"/>
    <n v="4951217000"/>
    <d v="2025-11-25T02:50:47"/>
    <x v="3"/>
    <x v="3"/>
  </r>
  <r>
    <x v="0"/>
    <x v="18"/>
    <x v="0"/>
    <x v="4"/>
    <n v="4325026000"/>
    <d v="2025-11-25T02:50:47"/>
    <x v="3"/>
    <x v="3"/>
  </r>
  <r>
    <x v="0"/>
    <x v="19"/>
    <x v="0"/>
    <x v="4"/>
    <n v="4376297000"/>
    <d v="2025-11-25T02:50:47"/>
    <x v="3"/>
    <x v="3"/>
  </r>
  <r>
    <x v="0"/>
    <x v="0"/>
    <x v="0"/>
    <x v="5"/>
    <n v="372000000"/>
    <d v="2025-11-25T02:50:47"/>
    <x v="4"/>
    <x v="4"/>
  </r>
  <r>
    <x v="0"/>
    <x v="1"/>
    <x v="0"/>
    <x v="5"/>
    <n v="351000000"/>
    <d v="2025-11-25T02:50:47"/>
    <x v="4"/>
    <x v="4"/>
  </r>
  <r>
    <x v="0"/>
    <x v="2"/>
    <x v="0"/>
    <x v="5"/>
    <n v="483000000"/>
    <d v="2025-11-25T02:50:47"/>
    <x v="4"/>
    <x v="4"/>
  </r>
  <r>
    <x v="0"/>
    <x v="3"/>
    <x v="0"/>
    <x v="5"/>
    <n v="376000000"/>
    <d v="2025-11-25T02:50:47"/>
    <x v="4"/>
    <x v="4"/>
  </r>
  <r>
    <x v="0"/>
    <x v="4"/>
    <x v="0"/>
    <x v="5"/>
    <n v="290000000"/>
    <d v="2025-11-25T02:50:47"/>
    <x v="4"/>
    <x v="4"/>
  </r>
  <r>
    <x v="0"/>
    <x v="5"/>
    <x v="0"/>
    <x v="5"/>
    <n v="406000000"/>
    <d v="2025-11-25T02:50:47"/>
    <x v="4"/>
    <x v="4"/>
  </r>
  <r>
    <x v="0"/>
    <x v="6"/>
    <x v="0"/>
    <x v="5"/>
    <n v="431000000"/>
    <d v="2025-11-25T02:50:47"/>
    <x v="4"/>
    <x v="4"/>
  </r>
  <r>
    <x v="0"/>
    <x v="7"/>
    <x v="0"/>
    <x v="5"/>
    <n v="395000000"/>
    <d v="2025-11-25T02:50:47"/>
    <x v="4"/>
    <x v="4"/>
  </r>
  <r>
    <x v="0"/>
    <x v="8"/>
    <x v="0"/>
    <x v="5"/>
    <n v="410000000"/>
    <d v="2025-11-25T02:50:47"/>
    <x v="4"/>
    <x v="4"/>
  </r>
  <r>
    <x v="0"/>
    <x v="9"/>
    <x v="0"/>
    <x v="5"/>
    <n v="377000000"/>
    <d v="2025-11-25T02:50:47"/>
    <x v="4"/>
    <x v="4"/>
  </r>
  <r>
    <x v="0"/>
    <x v="10"/>
    <x v="0"/>
    <x v="5"/>
    <n v="434000000"/>
    <d v="2025-11-25T02:50:47"/>
    <x v="4"/>
    <x v="4"/>
  </r>
  <r>
    <x v="0"/>
    <x v="11"/>
    <x v="0"/>
    <x v="5"/>
    <n v="503000000"/>
    <d v="2025-11-25T02:50:47"/>
    <x v="4"/>
    <x v="4"/>
  </r>
  <r>
    <x v="0"/>
    <x v="12"/>
    <x v="0"/>
    <x v="5"/>
    <n v="531000000"/>
    <d v="2025-11-25T02:50:47"/>
    <x v="4"/>
    <x v="4"/>
  </r>
  <r>
    <x v="0"/>
    <x v="13"/>
    <x v="0"/>
    <x v="5"/>
    <n v="459000000"/>
    <d v="2025-11-25T02:50:47"/>
    <x v="4"/>
    <x v="4"/>
  </r>
  <r>
    <x v="0"/>
    <x v="14"/>
    <x v="0"/>
    <x v="5"/>
    <n v="380000000"/>
    <d v="2025-11-25T02:50:47"/>
    <x v="4"/>
    <x v="4"/>
  </r>
  <r>
    <x v="0"/>
    <x v="15"/>
    <x v="0"/>
    <x v="5"/>
    <n v="343883000"/>
    <d v="2025-11-25T02:50:47"/>
    <x v="4"/>
    <x v="4"/>
  </r>
  <r>
    <x v="0"/>
    <x v="16"/>
    <x v="0"/>
    <x v="5"/>
    <n v="288794000"/>
    <d v="2025-11-25T02:50:47"/>
    <x v="4"/>
    <x v="4"/>
  </r>
  <r>
    <x v="0"/>
    <x v="17"/>
    <x v="0"/>
    <x v="5"/>
    <n v="275065000"/>
    <d v="2025-11-25T02:50:47"/>
    <x v="4"/>
    <x v="4"/>
  </r>
  <r>
    <x v="0"/>
    <x v="18"/>
    <x v="0"/>
    <x v="5"/>
    <n v="211334000"/>
    <d v="2025-11-25T02:50:47"/>
    <x v="4"/>
    <x v="4"/>
  </r>
  <r>
    <x v="0"/>
    <x v="19"/>
    <x v="0"/>
    <x v="5"/>
    <n v="198272000"/>
    <d v="2025-11-25T02:50:47"/>
    <x v="4"/>
    <x v="4"/>
  </r>
  <r>
    <x v="0"/>
    <x v="0"/>
    <x v="0"/>
    <x v="6"/>
    <m/>
    <d v="2025-11-25T02:50:47"/>
    <x v="4"/>
    <x v="5"/>
  </r>
  <r>
    <x v="0"/>
    <x v="1"/>
    <x v="0"/>
    <x v="6"/>
    <m/>
    <d v="2025-11-25T02:50:47"/>
    <x v="4"/>
    <x v="5"/>
  </r>
  <r>
    <x v="0"/>
    <x v="2"/>
    <x v="0"/>
    <x v="6"/>
    <m/>
    <d v="2025-11-25T02:50:47"/>
    <x v="4"/>
    <x v="5"/>
  </r>
  <r>
    <x v="0"/>
    <x v="3"/>
    <x v="0"/>
    <x v="6"/>
    <m/>
    <d v="2025-11-25T02:50:47"/>
    <x v="4"/>
    <x v="5"/>
  </r>
  <r>
    <x v="0"/>
    <x v="4"/>
    <x v="0"/>
    <x v="6"/>
    <m/>
    <d v="2025-11-25T02:50:47"/>
    <x v="4"/>
    <x v="5"/>
  </r>
  <r>
    <x v="0"/>
    <x v="5"/>
    <x v="0"/>
    <x v="6"/>
    <m/>
    <d v="2025-11-25T02:50:47"/>
    <x v="4"/>
    <x v="5"/>
  </r>
  <r>
    <x v="0"/>
    <x v="6"/>
    <x v="0"/>
    <x v="6"/>
    <n v="0"/>
    <d v="2025-11-25T02:50:47"/>
    <x v="4"/>
    <x v="5"/>
  </r>
  <r>
    <x v="0"/>
    <x v="7"/>
    <x v="0"/>
    <x v="6"/>
    <n v="0"/>
    <d v="2025-11-25T02:50:47"/>
    <x v="4"/>
    <x v="5"/>
  </r>
  <r>
    <x v="0"/>
    <x v="8"/>
    <x v="0"/>
    <x v="6"/>
    <n v="0"/>
    <d v="2025-11-25T02:50:47"/>
    <x v="4"/>
    <x v="5"/>
  </r>
  <r>
    <x v="0"/>
    <x v="9"/>
    <x v="0"/>
    <x v="6"/>
    <n v="0"/>
    <d v="2025-11-25T02:50:47"/>
    <x v="4"/>
    <x v="5"/>
  </r>
  <r>
    <x v="0"/>
    <x v="10"/>
    <x v="0"/>
    <x v="6"/>
    <n v="0"/>
    <d v="2025-11-25T02:50:47"/>
    <x v="4"/>
    <x v="5"/>
  </r>
  <r>
    <x v="0"/>
    <x v="11"/>
    <x v="0"/>
    <x v="6"/>
    <n v="0"/>
    <d v="2025-11-25T02:50:47"/>
    <x v="4"/>
    <x v="5"/>
  </r>
  <r>
    <x v="0"/>
    <x v="12"/>
    <x v="0"/>
    <x v="6"/>
    <n v="0"/>
    <d v="2025-11-25T02:50:47"/>
    <x v="4"/>
    <x v="5"/>
  </r>
  <r>
    <x v="0"/>
    <x v="13"/>
    <x v="0"/>
    <x v="6"/>
    <n v="0"/>
    <d v="2025-11-25T02:50:47"/>
    <x v="4"/>
    <x v="5"/>
  </r>
  <r>
    <x v="0"/>
    <x v="14"/>
    <x v="0"/>
    <x v="6"/>
    <n v="0"/>
    <d v="2025-11-25T02:50:47"/>
    <x v="4"/>
    <x v="5"/>
  </r>
  <r>
    <x v="0"/>
    <x v="15"/>
    <x v="0"/>
    <x v="6"/>
    <n v="0"/>
    <d v="2025-11-25T02:50:47"/>
    <x v="4"/>
    <x v="5"/>
  </r>
  <r>
    <x v="0"/>
    <x v="16"/>
    <x v="0"/>
    <x v="6"/>
    <m/>
    <d v="2025-11-25T02:50:47"/>
    <x v="4"/>
    <x v="5"/>
  </r>
  <r>
    <x v="0"/>
    <x v="17"/>
    <x v="0"/>
    <x v="6"/>
    <m/>
    <d v="2025-11-25T02:50:47"/>
    <x v="4"/>
    <x v="5"/>
  </r>
  <r>
    <x v="0"/>
    <x v="18"/>
    <x v="0"/>
    <x v="6"/>
    <m/>
    <d v="2025-11-25T02:50:47"/>
    <x v="4"/>
    <x v="5"/>
  </r>
  <r>
    <x v="0"/>
    <x v="19"/>
    <x v="0"/>
    <x v="6"/>
    <m/>
    <d v="2025-11-25T02:50:47"/>
    <x v="4"/>
    <x v="5"/>
  </r>
  <r>
    <x v="0"/>
    <x v="0"/>
    <x v="0"/>
    <x v="7"/>
    <n v="1103000000"/>
    <d v="2025-11-25T02:50:47"/>
    <x v="4"/>
    <x v="6"/>
  </r>
  <r>
    <x v="0"/>
    <x v="1"/>
    <x v="0"/>
    <x v="7"/>
    <n v="869000000"/>
    <d v="2025-11-25T02:50:47"/>
    <x v="4"/>
    <x v="6"/>
  </r>
  <r>
    <x v="0"/>
    <x v="2"/>
    <x v="0"/>
    <x v="7"/>
    <n v="1173000000"/>
    <d v="2025-11-25T02:50:47"/>
    <x v="4"/>
    <x v="6"/>
  </r>
  <r>
    <x v="0"/>
    <x v="3"/>
    <x v="0"/>
    <x v="7"/>
    <n v="848000000"/>
    <d v="2025-11-25T02:50:47"/>
    <x v="4"/>
    <x v="6"/>
  </r>
  <r>
    <x v="0"/>
    <x v="4"/>
    <x v="0"/>
    <x v="7"/>
    <n v="732000000"/>
    <d v="2025-11-25T02:50:47"/>
    <x v="4"/>
    <x v="6"/>
  </r>
  <r>
    <x v="0"/>
    <x v="5"/>
    <x v="0"/>
    <x v="7"/>
    <n v="1471000000"/>
    <d v="2025-11-25T02:50:47"/>
    <x v="4"/>
    <x v="6"/>
  </r>
  <r>
    <x v="0"/>
    <x v="6"/>
    <x v="0"/>
    <x v="7"/>
    <n v="1187000000"/>
    <d v="2025-11-25T02:50:47"/>
    <x v="4"/>
    <x v="6"/>
  </r>
  <r>
    <x v="0"/>
    <x v="7"/>
    <x v="0"/>
    <x v="7"/>
    <n v="1181000000"/>
    <d v="2025-11-25T02:50:47"/>
    <x v="4"/>
    <x v="6"/>
  </r>
  <r>
    <x v="0"/>
    <x v="8"/>
    <x v="0"/>
    <x v="7"/>
    <n v="1199000000"/>
    <d v="2025-11-25T02:50:47"/>
    <x v="4"/>
    <x v="6"/>
  </r>
  <r>
    <x v="0"/>
    <x v="9"/>
    <x v="0"/>
    <x v="7"/>
    <n v="821000000"/>
    <d v="2025-11-25T02:50:47"/>
    <x v="4"/>
    <x v="6"/>
  </r>
  <r>
    <x v="0"/>
    <x v="10"/>
    <x v="0"/>
    <x v="7"/>
    <n v="1475000000"/>
    <d v="2025-11-25T02:50:47"/>
    <x v="4"/>
    <x v="6"/>
  </r>
  <r>
    <x v="0"/>
    <x v="11"/>
    <x v="0"/>
    <x v="7"/>
    <n v="1527000000"/>
    <d v="2025-11-25T02:50:47"/>
    <x v="4"/>
    <x v="6"/>
  </r>
  <r>
    <x v="0"/>
    <x v="12"/>
    <x v="0"/>
    <x v="7"/>
    <n v="1494000000"/>
    <d v="2025-11-25T02:50:47"/>
    <x v="4"/>
    <x v="6"/>
  </r>
  <r>
    <x v="0"/>
    <x v="13"/>
    <x v="0"/>
    <x v="7"/>
    <n v="1434000000"/>
    <d v="2025-11-25T02:50:47"/>
    <x v="4"/>
    <x v="6"/>
  </r>
  <r>
    <x v="0"/>
    <x v="14"/>
    <x v="0"/>
    <x v="7"/>
    <n v="1272000000"/>
    <d v="2025-11-25T02:50:47"/>
    <x v="4"/>
    <x v="6"/>
  </r>
  <r>
    <x v="0"/>
    <x v="15"/>
    <x v="0"/>
    <x v="7"/>
    <n v="7904000000"/>
    <d v="2025-11-25T02:50:47"/>
    <x v="4"/>
    <x v="6"/>
  </r>
  <r>
    <x v="0"/>
    <x v="16"/>
    <x v="0"/>
    <x v="7"/>
    <n v="9123859000"/>
    <d v="2025-11-25T02:50:47"/>
    <x v="4"/>
    <x v="6"/>
  </r>
  <r>
    <x v="0"/>
    <x v="17"/>
    <x v="0"/>
    <x v="7"/>
    <n v="3164838000"/>
    <d v="2025-11-25T02:50:47"/>
    <x v="4"/>
    <x v="6"/>
  </r>
  <r>
    <x v="0"/>
    <x v="18"/>
    <x v="0"/>
    <x v="7"/>
    <n v="2306128000"/>
    <d v="2025-11-25T02:50:47"/>
    <x v="4"/>
    <x v="6"/>
  </r>
  <r>
    <x v="0"/>
    <x v="19"/>
    <x v="0"/>
    <x v="7"/>
    <n v="2067212000"/>
    <d v="2025-11-25T02:50:47"/>
    <x v="4"/>
    <x v="6"/>
  </r>
  <r>
    <x v="0"/>
    <x v="0"/>
    <x v="0"/>
    <x v="8"/>
    <m/>
    <d v="2025-11-25T02:50:47"/>
    <x v="1"/>
    <x v="7"/>
  </r>
  <r>
    <x v="0"/>
    <x v="1"/>
    <x v="0"/>
    <x v="8"/>
    <m/>
    <d v="2025-11-25T02:50:47"/>
    <x v="1"/>
    <x v="7"/>
  </r>
  <r>
    <x v="0"/>
    <x v="2"/>
    <x v="0"/>
    <x v="8"/>
    <m/>
    <d v="2025-11-25T02:50:47"/>
    <x v="1"/>
    <x v="7"/>
  </r>
  <r>
    <x v="0"/>
    <x v="3"/>
    <x v="0"/>
    <x v="8"/>
    <m/>
    <d v="2025-11-25T02:50:47"/>
    <x v="1"/>
    <x v="7"/>
  </r>
  <r>
    <x v="0"/>
    <x v="4"/>
    <x v="0"/>
    <x v="8"/>
    <m/>
    <d v="2025-11-25T02:50:47"/>
    <x v="1"/>
    <x v="7"/>
  </r>
  <r>
    <x v="0"/>
    <x v="5"/>
    <x v="0"/>
    <x v="8"/>
    <m/>
    <d v="2025-11-25T02:50:47"/>
    <x v="1"/>
    <x v="7"/>
  </r>
  <r>
    <x v="0"/>
    <x v="6"/>
    <x v="0"/>
    <x v="8"/>
    <m/>
    <d v="2025-11-25T02:50:47"/>
    <x v="1"/>
    <x v="7"/>
  </r>
  <r>
    <x v="0"/>
    <x v="7"/>
    <x v="0"/>
    <x v="8"/>
    <m/>
    <d v="2025-11-25T02:50:47"/>
    <x v="1"/>
    <x v="7"/>
  </r>
  <r>
    <x v="0"/>
    <x v="8"/>
    <x v="0"/>
    <x v="8"/>
    <m/>
    <d v="2025-11-25T02:50:47"/>
    <x v="1"/>
    <x v="7"/>
  </r>
  <r>
    <x v="0"/>
    <x v="9"/>
    <x v="0"/>
    <x v="8"/>
    <m/>
    <d v="2025-11-25T02:50:47"/>
    <x v="1"/>
    <x v="7"/>
  </r>
  <r>
    <x v="0"/>
    <x v="10"/>
    <x v="0"/>
    <x v="8"/>
    <m/>
    <d v="2025-11-25T02:50:47"/>
    <x v="1"/>
    <x v="7"/>
  </r>
  <r>
    <x v="0"/>
    <x v="11"/>
    <x v="0"/>
    <x v="8"/>
    <m/>
    <d v="2025-11-25T02:50:47"/>
    <x v="1"/>
    <x v="7"/>
  </r>
  <r>
    <x v="0"/>
    <x v="12"/>
    <x v="0"/>
    <x v="8"/>
    <m/>
    <d v="2025-11-25T02:50:47"/>
    <x v="1"/>
    <x v="7"/>
  </r>
  <r>
    <x v="0"/>
    <x v="13"/>
    <x v="0"/>
    <x v="8"/>
    <m/>
    <d v="2025-11-25T02:50:47"/>
    <x v="1"/>
    <x v="7"/>
  </r>
  <r>
    <x v="0"/>
    <x v="14"/>
    <x v="0"/>
    <x v="8"/>
    <m/>
    <d v="2025-11-25T02:50:47"/>
    <x v="1"/>
    <x v="7"/>
  </r>
  <r>
    <x v="0"/>
    <x v="15"/>
    <x v="0"/>
    <x v="8"/>
    <m/>
    <d v="2025-11-25T02:50:47"/>
    <x v="1"/>
    <x v="7"/>
  </r>
  <r>
    <x v="0"/>
    <x v="16"/>
    <x v="0"/>
    <x v="8"/>
    <m/>
    <d v="2025-11-25T02:50:47"/>
    <x v="1"/>
    <x v="7"/>
  </r>
  <r>
    <x v="0"/>
    <x v="17"/>
    <x v="0"/>
    <x v="8"/>
    <m/>
    <d v="2025-11-25T02:50:47"/>
    <x v="1"/>
    <x v="7"/>
  </r>
  <r>
    <x v="0"/>
    <x v="18"/>
    <x v="0"/>
    <x v="8"/>
    <m/>
    <d v="2025-11-25T02:50:47"/>
    <x v="1"/>
    <x v="7"/>
  </r>
  <r>
    <x v="0"/>
    <x v="19"/>
    <x v="0"/>
    <x v="8"/>
    <m/>
    <d v="2025-11-25T02:50:47"/>
    <x v="1"/>
    <x v="7"/>
  </r>
  <r>
    <x v="0"/>
    <x v="0"/>
    <x v="0"/>
    <x v="9"/>
    <n v="-367000000"/>
    <d v="2025-11-25T02:50:47"/>
    <x v="5"/>
    <x v="8"/>
  </r>
  <r>
    <x v="0"/>
    <x v="1"/>
    <x v="0"/>
    <x v="9"/>
    <n v="-321000000"/>
    <d v="2025-11-25T02:50:47"/>
    <x v="5"/>
    <x v="8"/>
  </r>
  <r>
    <x v="0"/>
    <x v="2"/>
    <x v="0"/>
    <x v="9"/>
    <n v="-312000000"/>
    <d v="2025-11-25T02:50:47"/>
    <x v="5"/>
    <x v="8"/>
  </r>
  <r>
    <x v="0"/>
    <x v="3"/>
    <x v="0"/>
    <x v="9"/>
    <n v="-514000000"/>
    <d v="2025-11-25T02:50:47"/>
    <x v="5"/>
    <x v="8"/>
  </r>
  <r>
    <x v="0"/>
    <x v="4"/>
    <x v="0"/>
    <x v="9"/>
    <n v="-427000000"/>
    <d v="2025-11-25T02:50:47"/>
    <x v="5"/>
    <x v="8"/>
  </r>
  <r>
    <x v="0"/>
    <x v="5"/>
    <x v="0"/>
    <x v="9"/>
    <n v="-387000000"/>
    <d v="2025-11-25T02:50:47"/>
    <x v="5"/>
    <x v="8"/>
  </r>
  <r>
    <x v="0"/>
    <x v="6"/>
    <x v="0"/>
    <x v="9"/>
    <n v="-384000000"/>
    <d v="2025-11-25T02:50:47"/>
    <x v="5"/>
    <x v="8"/>
  </r>
  <r>
    <x v="0"/>
    <x v="7"/>
    <x v="0"/>
    <x v="9"/>
    <n v="-396000000"/>
    <d v="2025-11-25T02:50:47"/>
    <x v="5"/>
    <x v="8"/>
  </r>
  <r>
    <x v="0"/>
    <x v="8"/>
    <x v="0"/>
    <x v="9"/>
    <n v="-416000000"/>
    <d v="2025-11-25T02:50:47"/>
    <x v="5"/>
    <x v="8"/>
  </r>
  <r>
    <x v="0"/>
    <x v="9"/>
    <x v="0"/>
    <x v="9"/>
    <m/>
    <d v="2025-11-25T02:50:47"/>
    <x v="5"/>
    <x v="8"/>
  </r>
  <r>
    <x v="0"/>
    <x v="10"/>
    <x v="0"/>
    <x v="9"/>
    <m/>
    <d v="2025-11-25T02:50:47"/>
    <x v="5"/>
    <x v="8"/>
  </r>
  <r>
    <x v="0"/>
    <x v="11"/>
    <x v="0"/>
    <x v="9"/>
    <m/>
    <d v="2025-11-25T02:50:47"/>
    <x v="5"/>
    <x v="8"/>
  </r>
  <r>
    <x v="0"/>
    <x v="12"/>
    <x v="0"/>
    <x v="9"/>
    <m/>
    <d v="2025-11-25T02:50:47"/>
    <x v="5"/>
    <x v="8"/>
  </r>
  <r>
    <x v="0"/>
    <x v="13"/>
    <x v="0"/>
    <x v="9"/>
    <m/>
    <d v="2025-11-25T02:50:47"/>
    <x v="5"/>
    <x v="8"/>
  </r>
  <r>
    <x v="0"/>
    <x v="14"/>
    <x v="0"/>
    <x v="9"/>
    <m/>
    <d v="2025-11-25T02:50:47"/>
    <x v="5"/>
    <x v="8"/>
  </r>
  <r>
    <x v="0"/>
    <x v="15"/>
    <x v="0"/>
    <x v="9"/>
    <m/>
    <d v="2025-11-25T02:50:47"/>
    <x v="5"/>
    <x v="8"/>
  </r>
  <r>
    <x v="0"/>
    <x v="16"/>
    <x v="0"/>
    <x v="9"/>
    <m/>
    <d v="2025-11-25T02:50:47"/>
    <x v="5"/>
    <x v="8"/>
  </r>
  <r>
    <x v="0"/>
    <x v="17"/>
    <x v="0"/>
    <x v="9"/>
    <m/>
    <d v="2025-11-25T02:50:47"/>
    <x v="5"/>
    <x v="8"/>
  </r>
  <r>
    <x v="0"/>
    <x v="18"/>
    <x v="0"/>
    <x v="9"/>
    <m/>
    <d v="2025-11-25T02:50:47"/>
    <x v="5"/>
    <x v="8"/>
  </r>
  <r>
    <x v="0"/>
    <x v="19"/>
    <x v="0"/>
    <x v="9"/>
    <m/>
    <d v="2025-11-25T02:50:47"/>
    <x v="5"/>
    <x v="8"/>
  </r>
  <r>
    <x v="0"/>
    <x v="0"/>
    <x v="0"/>
    <x v="10"/>
    <n v="12000000"/>
    <d v="2025-11-25T02:50:47"/>
    <x v="1"/>
    <x v="7"/>
  </r>
  <r>
    <x v="0"/>
    <x v="1"/>
    <x v="0"/>
    <x v="10"/>
    <n v="10000000"/>
    <d v="2025-11-25T02:50:47"/>
    <x v="1"/>
    <x v="7"/>
  </r>
  <r>
    <x v="0"/>
    <x v="2"/>
    <x v="0"/>
    <x v="10"/>
    <n v="10000000"/>
    <d v="2025-11-25T02:50:47"/>
    <x v="1"/>
    <x v="7"/>
  </r>
  <r>
    <x v="0"/>
    <x v="3"/>
    <x v="0"/>
    <x v="10"/>
    <n v="8000000"/>
    <d v="2025-11-25T02:50:47"/>
    <x v="1"/>
    <x v="7"/>
  </r>
  <r>
    <x v="0"/>
    <x v="4"/>
    <x v="0"/>
    <x v="10"/>
    <n v="7000000"/>
    <d v="2025-11-25T02:50:47"/>
    <x v="1"/>
    <x v="7"/>
  </r>
  <r>
    <x v="0"/>
    <x v="5"/>
    <x v="0"/>
    <x v="10"/>
    <n v="13000000"/>
    <d v="2025-11-25T02:50:47"/>
    <x v="1"/>
    <x v="7"/>
  </r>
  <r>
    <x v="0"/>
    <x v="6"/>
    <x v="0"/>
    <x v="10"/>
    <n v="22000000"/>
    <d v="2025-11-25T02:50:47"/>
    <x v="1"/>
    <x v="7"/>
  </r>
  <r>
    <x v="0"/>
    <x v="7"/>
    <x v="0"/>
    <x v="10"/>
    <n v="19000000"/>
    <d v="2025-11-25T02:50:47"/>
    <x v="1"/>
    <x v="7"/>
  </r>
  <r>
    <x v="0"/>
    <x v="8"/>
    <x v="0"/>
    <x v="10"/>
    <n v="8000000"/>
    <d v="2025-11-25T02:50:47"/>
    <x v="1"/>
    <x v="7"/>
  </r>
  <r>
    <x v="0"/>
    <x v="9"/>
    <x v="0"/>
    <x v="10"/>
    <m/>
    <d v="2025-11-25T02:50:47"/>
    <x v="1"/>
    <x v="7"/>
  </r>
  <r>
    <x v="0"/>
    <x v="10"/>
    <x v="0"/>
    <x v="10"/>
    <m/>
    <d v="2025-11-25T02:50:47"/>
    <x v="1"/>
    <x v="7"/>
  </r>
  <r>
    <x v="0"/>
    <x v="11"/>
    <x v="0"/>
    <x v="10"/>
    <m/>
    <d v="2025-11-25T02:50:47"/>
    <x v="1"/>
    <x v="7"/>
  </r>
  <r>
    <x v="0"/>
    <x v="12"/>
    <x v="0"/>
    <x v="10"/>
    <m/>
    <d v="2025-11-25T02:50:47"/>
    <x v="1"/>
    <x v="7"/>
  </r>
  <r>
    <x v="0"/>
    <x v="13"/>
    <x v="0"/>
    <x v="10"/>
    <m/>
    <d v="2025-11-25T02:50:47"/>
    <x v="1"/>
    <x v="7"/>
  </r>
  <r>
    <x v="0"/>
    <x v="14"/>
    <x v="0"/>
    <x v="10"/>
    <m/>
    <d v="2025-11-25T02:50:47"/>
    <x v="1"/>
    <x v="7"/>
  </r>
  <r>
    <x v="0"/>
    <x v="15"/>
    <x v="0"/>
    <x v="10"/>
    <m/>
    <d v="2025-11-25T02:50:47"/>
    <x v="1"/>
    <x v="7"/>
  </r>
  <r>
    <x v="0"/>
    <x v="16"/>
    <x v="0"/>
    <x v="10"/>
    <m/>
    <d v="2025-11-25T02:50:47"/>
    <x v="1"/>
    <x v="7"/>
  </r>
  <r>
    <x v="0"/>
    <x v="17"/>
    <x v="0"/>
    <x v="10"/>
    <m/>
    <d v="2025-11-25T02:50:47"/>
    <x v="1"/>
    <x v="7"/>
  </r>
  <r>
    <x v="0"/>
    <x v="18"/>
    <x v="0"/>
    <x v="10"/>
    <m/>
    <d v="2025-11-25T02:50:47"/>
    <x v="1"/>
    <x v="7"/>
  </r>
  <r>
    <x v="0"/>
    <x v="19"/>
    <x v="0"/>
    <x v="10"/>
    <m/>
    <d v="2025-11-25T02:50:47"/>
    <x v="1"/>
    <x v="7"/>
  </r>
  <r>
    <x v="0"/>
    <x v="0"/>
    <x v="0"/>
    <x v="11"/>
    <n v="379000000"/>
    <d v="2025-11-25T02:50:47"/>
    <x v="5"/>
    <x v="9"/>
  </r>
  <r>
    <x v="0"/>
    <x v="1"/>
    <x v="0"/>
    <x v="11"/>
    <n v="331000000"/>
    <d v="2025-11-25T02:50:47"/>
    <x v="5"/>
    <x v="9"/>
  </r>
  <r>
    <x v="0"/>
    <x v="2"/>
    <x v="0"/>
    <x v="11"/>
    <n v="322000000"/>
    <d v="2025-11-25T02:50:47"/>
    <x v="5"/>
    <x v="9"/>
  </r>
  <r>
    <x v="0"/>
    <x v="3"/>
    <x v="0"/>
    <x v="11"/>
    <n v="418000000"/>
    <d v="2025-11-25T02:50:47"/>
    <x v="5"/>
    <x v="9"/>
  </r>
  <r>
    <x v="0"/>
    <x v="4"/>
    <x v="0"/>
    <x v="11"/>
    <n v="434000000"/>
    <d v="2025-11-25T02:50:47"/>
    <x v="5"/>
    <x v="9"/>
  </r>
  <r>
    <x v="0"/>
    <x v="5"/>
    <x v="0"/>
    <x v="11"/>
    <n v="400000000"/>
    <d v="2025-11-25T02:50:47"/>
    <x v="5"/>
    <x v="9"/>
  </r>
  <r>
    <x v="0"/>
    <x v="6"/>
    <x v="0"/>
    <x v="11"/>
    <n v="478000000"/>
    <d v="2025-11-25T02:50:47"/>
    <x v="5"/>
    <x v="9"/>
  </r>
  <r>
    <x v="0"/>
    <x v="7"/>
    <x v="0"/>
    <x v="11"/>
    <n v="397000000"/>
    <d v="2025-11-25T02:50:47"/>
    <x v="5"/>
    <x v="9"/>
  </r>
  <r>
    <x v="0"/>
    <x v="8"/>
    <x v="0"/>
    <x v="11"/>
    <n v="417000000"/>
    <d v="2025-11-25T02:50:47"/>
    <x v="5"/>
    <x v="9"/>
  </r>
  <r>
    <x v="0"/>
    <x v="9"/>
    <x v="0"/>
    <x v="11"/>
    <n v="299000000"/>
    <d v="2025-11-25T02:50:47"/>
    <x v="5"/>
    <x v="9"/>
  </r>
  <r>
    <x v="0"/>
    <x v="10"/>
    <x v="0"/>
    <x v="11"/>
    <n v="130000000"/>
    <d v="2025-11-25T02:50:47"/>
    <x v="5"/>
    <x v="9"/>
  </r>
  <r>
    <x v="0"/>
    <x v="11"/>
    <x v="0"/>
    <x v="11"/>
    <n v="174000000"/>
    <d v="2025-11-25T02:50:47"/>
    <x v="5"/>
    <x v="9"/>
  </r>
  <r>
    <x v="0"/>
    <x v="12"/>
    <x v="0"/>
    <x v="11"/>
    <n v="165000000"/>
    <d v="2025-11-25T02:50:47"/>
    <x v="5"/>
    <x v="9"/>
  </r>
  <r>
    <x v="0"/>
    <x v="13"/>
    <x v="0"/>
    <x v="11"/>
    <n v="175000000"/>
    <d v="2025-11-25T02:50:47"/>
    <x v="5"/>
    <x v="9"/>
  </r>
  <r>
    <x v="0"/>
    <x v="14"/>
    <x v="0"/>
    <x v="11"/>
    <n v="242000000"/>
    <d v="2025-11-25T02:50:47"/>
    <x v="5"/>
    <x v="9"/>
  </r>
  <r>
    <x v="0"/>
    <x v="15"/>
    <x v="0"/>
    <x v="11"/>
    <n v="248000000"/>
    <d v="2025-11-25T02:50:47"/>
    <x v="5"/>
    <x v="9"/>
  </r>
  <r>
    <x v="0"/>
    <x v="16"/>
    <x v="0"/>
    <x v="11"/>
    <n v="280457000"/>
    <d v="2025-11-25T02:50:47"/>
    <x v="5"/>
    <x v="9"/>
  </r>
  <r>
    <x v="0"/>
    <x v="17"/>
    <x v="0"/>
    <x v="11"/>
    <n v="0"/>
    <d v="2025-11-25T02:50:47"/>
    <x v="5"/>
    <x v="9"/>
  </r>
  <r>
    <x v="0"/>
    <x v="18"/>
    <x v="0"/>
    <x v="11"/>
    <n v="158201000"/>
    <d v="2025-11-25T02:50:47"/>
    <x v="5"/>
    <x v="9"/>
  </r>
  <r>
    <x v="0"/>
    <x v="19"/>
    <x v="0"/>
    <x v="11"/>
    <n v="122179000"/>
    <d v="2025-11-25T02:50:47"/>
    <x v="5"/>
    <x v="9"/>
  </r>
  <r>
    <x v="0"/>
    <x v="0"/>
    <x v="0"/>
    <x v="12"/>
    <m/>
    <d v="2025-11-25T02:50:47"/>
    <x v="1"/>
    <x v="10"/>
  </r>
  <r>
    <x v="0"/>
    <x v="1"/>
    <x v="0"/>
    <x v="12"/>
    <m/>
    <d v="2025-11-25T02:50:47"/>
    <x v="1"/>
    <x v="10"/>
  </r>
  <r>
    <x v="0"/>
    <x v="2"/>
    <x v="0"/>
    <x v="12"/>
    <m/>
    <d v="2025-11-25T02:50:47"/>
    <x v="1"/>
    <x v="10"/>
  </r>
  <r>
    <x v="0"/>
    <x v="3"/>
    <x v="0"/>
    <x v="12"/>
    <m/>
    <d v="2025-11-25T02:50:47"/>
    <x v="1"/>
    <x v="10"/>
  </r>
  <r>
    <x v="0"/>
    <x v="4"/>
    <x v="0"/>
    <x v="12"/>
    <m/>
    <d v="2025-11-25T02:50:47"/>
    <x v="1"/>
    <x v="10"/>
  </r>
  <r>
    <x v="0"/>
    <x v="5"/>
    <x v="0"/>
    <x v="12"/>
    <m/>
    <d v="2025-11-25T02:50:47"/>
    <x v="1"/>
    <x v="10"/>
  </r>
  <r>
    <x v="0"/>
    <x v="6"/>
    <x v="0"/>
    <x v="12"/>
    <m/>
    <d v="2025-11-25T02:50:47"/>
    <x v="1"/>
    <x v="10"/>
  </r>
  <r>
    <x v="0"/>
    <x v="7"/>
    <x v="0"/>
    <x v="12"/>
    <m/>
    <d v="2025-11-25T02:50:47"/>
    <x v="1"/>
    <x v="10"/>
  </r>
  <r>
    <x v="0"/>
    <x v="8"/>
    <x v="0"/>
    <x v="12"/>
    <m/>
    <d v="2025-11-25T02:50:47"/>
    <x v="1"/>
    <x v="10"/>
  </r>
  <r>
    <x v="0"/>
    <x v="9"/>
    <x v="0"/>
    <x v="12"/>
    <m/>
    <d v="2025-11-25T02:50:47"/>
    <x v="1"/>
    <x v="10"/>
  </r>
  <r>
    <x v="0"/>
    <x v="10"/>
    <x v="0"/>
    <x v="12"/>
    <m/>
    <d v="2025-11-25T02:50:47"/>
    <x v="1"/>
    <x v="10"/>
  </r>
  <r>
    <x v="0"/>
    <x v="11"/>
    <x v="0"/>
    <x v="12"/>
    <m/>
    <d v="2025-11-25T02:50:47"/>
    <x v="1"/>
    <x v="10"/>
  </r>
  <r>
    <x v="0"/>
    <x v="12"/>
    <x v="0"/>
    <x v="12"/>
    <m/>
    <d v="2025-11-25T02:50:47"/>
    <x v="1"/>
    <x v="10"/>
  </r>
  <r>
    <x v="0"/>
    <x v="13"/>
    <x v="0"/>
    <x v="12"/>
    <m/>
    <d v="2025-11-25T02:50:47"/>
    <x v="1"/>
    <x v="10"/>
  </r>
  <r>
    <x v="0"/>
    <x v="14"/>
    <x v="0"/>
    <x v="12"/>
    <m/>
    <d v="2025-11-25T02:50:47"/>
    <x v="1"/>
    <x v="10"/>
  </r>
  <r>
    <x v="0"/>
    <x v="15"/>
    <x v="0"/>
    <x v="12"/>
    <m/>
    <d v="2025-11-25T02:50:47"/>
    <x v="1"/>
    <x v="10"/>
  </r>
  <r>
    <x v="0"/>
    <x v="16"/>
    <x v="0"/>
    <x v="12"/>
    <m/>
    <d v="2025-11-25T02:50:47"/>
    <x v="1"/>
    <x v="10"/>
  </r>
  <r>
    <x v="0"/>
    <x v="17"/>
    <x v="0"/>
    <x v="12"/>
    <m/>
    <d v="2025-11-25T02:50:47"/>
    <x v="1"/>
    <x v="10"/>
  </r>
  <r>
    <x v="0"/>
    <x v="18"/>
    <x v="0"/>
    <x v="12"/>
    <m/>
    <d v="2025-11-25T02:50:47"/>
    <x v="1"/>
    <x v="10"/>
  </r>
  <r>
    <x v="0"/>
    <x v="19"/>
    <x v="0"/>
    <x v="12"/>
    <m/>
    <d v="2025-11-25T02:50:47"/>
    <x v="1"/>
    <x v="10"/>
  </r>
  <r>
    <x v="0"/>
    <x v="0"/>
    <x v="0"/>
    <x v="13"/>
    <m/>
    <d v="2025-11-25T02:50:47"/>
    <x v="1"/>
    <x v="10"/>
  </r>
  <r>
    <x v="0"/>
    <x v="1"/>
    <x v="0"/>
    <x v="13"/>
    <m/>
    <d v="2025-11-25T02:50:47"/>
    <x v="1"/>
    <x v="10"/>
  </r>
  <r>
    <x v="0"/>
    <x v="2"/>
    <x v="0"/>
    <x v="13"/>
    <n v="1073000000"/>
    <d v="2025-11-25T02:50:47"/>
    <x v="1"/>
    <x v="10"/>
  </r>
  <r>
    <x v="0"/>
    <x v="3"/>
    <x v="0"/>
    <x v="13"/>
    <n v="161000000"/>
    <d v="2025-11-25T02:50:47"/>
    <x v="1"/>
    <x v="10"/>
  </r>
  <r>
    <x v="0"/>
    <x v="4"/>
    <x v="0"/>
    <x v="13"/>
    <m/>
    <d v="2025-11-25T02:50:47"/>
    <x v="1"/>
    <x v="10"/>
  </r>
  <r>
    <x v="0"/>
    <x v="5"/>
    <x v="0"/>
    <x v="13"/>
    <n v="43000000"/>
    <d v="2025-11-25T02:50:47"/>
    <x v="1"/>
    <x v="10"/>
  </r>
  <r>
    <x v="0"/>
    <x v="6"/>
    <x v="0"/>
    <x v="13"/>
    <m/>
    <d v="2025-11-25T02:50:47"/>
    <x v="1"/>
    <x v="10"/>
  </r>
  <r>
    <x v="0"/>
    <x v="7"/>
    <x v="0"/>
    <x v="13"/>
    <n v="-397000000"/>
    <d v="2025-11-25T02:50:47"/>
    <x v="1"/>
    <x v="10"/>
  </r>
  <r>
    <x v="0"/>
    <x v="8"/>
    <x v="0"/>
    <x v="13"/>
    <n v="-417000000"/>
    <d v="2025-11-25T02:50:47"/>
    <x v="1"/>
    <x v="10"/>
  </r>
  <r>
    <x v="0"/>
    <x v="9"/>
    <x v="0"/>
    <x v="13"/>
    <n v="-299000000"/>
    <d v="2025-11-25T02:50:47"/>
    <x v="1"/>
    <x v="10"/>
  </r>
  <r>
    <x v="0"/>
    <x v="10"/>
    <x v="0"/>
    <x v="13"/>
    <n v="-130000000"/>
    <d v="2025-11-25T02:50:47"/>
    <x v="1"/>
    <x v="10"/>
  </r>
  <r>
    <x v="0"/>
    <x v="11"/>
    <x v="0"/>
    <x v="13"/>
    <m/>
    <d v="2025-11-25T02:50:47"/>
    <x v="1"/>
    <x v="10"/>
  </r>
  <r>
    <x v="0"/>
    <x v="12"/>
    <x v="0"/>
    <x v="13"/>
    <m/>
    <d v="2025-11-25T02:50:47"/>
    <x v="1"/>
    <x v="10"/>
  </r>
  <r>
    <x v="0"/>
    <x v="13"/>
    <x v="0"/>
    <x v="13"/>
    <m/>
    <d v="2025-11-25T02:50:47"/>
    <x v="1"/>
    <x v="10"/>
  </r>
  <r>
    <x v="0"/>
    <x v="14"/>
    <x v="0"/>
    <x v="13"/>
    <m/>
    <d v="2025-11-25T02:50:47"/>
    <x v="1"/>
    <x v="10"/>
  </r>
  <r>
    <x v="0"/>
    <x v="15"/>
    <x v="0"/>
    <x v="13"/>
    <m/>
    <d v="2025-11-25T02:50:47"/>
    <x v="1"/>
    <x v="10"/>
  </r>
  <r>
    <x v="0"/>
    <x v="16"/>
    <x v="0"/>
    <x v="13"/>
    <m/>
    <d v="2025-11-25T02:50:47"/>
    <x v="1"/>
    <x v="10"/>
  </r>
  <r>
    <x v="0"/>
    <x v="17"/>
    <x v="0"/>
    <x v="13"/>
    <m/>
    <d v="2025-11-25T02:50:47"/>
    <x v="1"/>
    <x v="10"/>
  </r>
  <r>
    <x v="0"/>
    <x v="18"/>
    <x v="0"/>
    <x v="13"/>
    <m/>
    <d v="2025-11-25T02:50:47"/>
    <x v="1"/>
    <x v="10"/>
  </r>
  <r>
    <x v="0"/>
    <x v="19"/>
    <x v="0"/>
    <x v="13"/>
    <m/>
    <d v="2025-11-25T02:50:47"/>
    <x v="1"/>
    <x v="10"/>
  </r>
  <r>
    <x v="0"/>
    <x v="0"/>
    <x v="0"/>
    <x v="14"/>
    <m/>
    <d v="2025-11-25T02:50:47"/>
    <x v="4"/>
    <x v="11"/>
  </r>
  <r>
    <x v="0"/>
    <x v="1"/>
    <x v="0"/>
    <x v="14"/>
    <m/>
    <d v="2025-11-25T02:50:47"/>
    <x v="4"/>
    <x v="11"/>
  </r>
  <r>
    <x v="0"/>
    <x v="2"/>
    <x v="0"/>
    <x v="14"/>
    <m/>
    <d v="2025-11-25T02:50:47"/>
    <x v="4"/>
    <x v="11"/>
  </r>
  <r>
    <x v="0"/>
    <x v="3"/>
    <x v="0"/>
    <x v="14"/>
    <m/>
    <d v="2025-11-25T02:50:47"/>
    <x v="4"/>
    <x v="11"/>
  </r>
  <r>
    <x v="0"/>
    <x v="4"/>
    <x v="0"/>
    <x v="14"/>
    <m/>
    <d v="2025-11-25T02:50:47"/>
    <x v="4"/>
    <x v="11"/>
  </r>
  <r>
    <x v="0"/>
    <x v="5"/>
    <x v="0"/>
    <x v="14"/>
    <m/>
    <d v="2025-11-25T02:50:47"/>
    <x v="4"/>
    <x v="11"/>
  </r>
  <r>
    <x v="0"/>
    <x v="6"/>
    <x v="0"/>
    <x v="14"/>
    <m/>
    <d v="2025-11-25T02:50:47"/>
    <x v="4"/>
    <x v="11"/>
  </r>
  <r>
    <x v="0"/>
    <x v="7"/>
    <x v="0"/>
    <x v="14"/>
    <m/>
    <d v="2025-11-25T02:50:47"/>
    <x v="4"/>
    <x v="11"/>
  </r>
  <r>
    <x v="0"/>
    <x v="8"/>
    <x v="0"/>
    <x v="14"/>
    <m/>
    <d v="2025-11-25T02:50:47"/>
    <x v="4"/>
    <x v="11"/>
  </r>
  <r>
    <x v="0"/>
    <x v="9"/>
    <x v="0"/>
    <x v="14"/>
    <m/>
    <d v="2025-11-25T02:50:47"/>
    <x v="4"/>
    <x v="11"/>
  </r>
  <r>
    <x v="0"/>
    <x v="10"/>
    <x v="0"/>
    <x v="14"/>
    <m/>
    <d v="2025-11-25T02:50:47"/>
    <x v="4"/>
    <x v="11"/>
  </r>
  <r>
    <x v="0"/>
    <x v="11"/>
    <x v="0"/>
    <x v="14"/>
    <m/>
    <d v="2025-11-25T02:50:47"/>
    <x v="4"/>
    <x v="11"/>
  </r>
  <r>
    <x v="0"/>
    <x v="12"/>
    <x v="0"/>
    <x v="14"/>
    <m/>
    <d v="2025-11-25T02:50:47"/>
    <x v="4"/>
    <x v="11"/>
  </r>
  <r>
    <x v="0"/>
    <x v="13"/>
    <x v="0"/>
    <x v="14"/>
    <m/>
    <d v="2025-11-25T02:50:47"/>
    <x v="4"/>
    <x v="11"/>
  </r>
  <r>
    <x v="0"/>
    <x v="14"/>
    <x v="0"/>
    <x v="14"/>
    <m/>
    <d v="2025-11-25T02:50:47"/>
    <x v="4"/>
    <x v="11"/>
  </r>
  <r>
    <x v="0"/>
    <x v="15"/>
    <x v="0"/>
    <x v="14"/>
    <m/>
    <d v="2025-11-25T02:50:47"/>
    <x v="4"/>
    <x v="11"/>
  </r>
  <r>
    <x v="0"/>
    <x v="16"/>
    <x v="0"/>
    <x v="14"/>
    <m/>
    <d v="2025-11-25T02:50:47"/>
    <x v="4"/>
    <x v="11"/>
  </r>
  <r>
    <x v="0"/>
    <x v="17"/>
    <x v="0"/>
    <x v="14"/>
    <m/>
    <d v="2025-11-25T02:50:47"/>
    <x v="4"/>
    <x v="11"/>
  </r>
  <r>
    <x v="0"/>
    <x v="18"/>
    <x v="0"/>
    <x v="14"/>
    <m/>
    <d v="2025-11-25T02:50:47"/>
    <x v="4"/>
    <x v="11"/>
  </r>
  <r>
    <x v="0"/>
    <x v="19"/>
    <x v="0"/>
    <x v="14"/>
    <m/>
    <d v="2025-11-25T02:50:47"/>
    <x v="4"/>
    <x v="11"/>
  </r>
  <r>
    <x v="0"/>
    <x v="0"/>
    <x v="0"/>
    <x v="15"/>
    <n v="2266000000"/>
    <d v="2025-11-25T02:50:47"/>
    <x v="4"/>
    <x v="11"/>
  </r>
  <r>
    <x v="0"/>
    <x v="1"/>
    <x v="0"/>
    <x v="15"/>
    <n v="1540000000"/>
    <d v="2025-11-25T02:50:47"/>
    <x v="4"/>
    <x v="11"/>
  </r>
  <r>
    <x v="0"/>
    <x v="2"/>
    <x v="0"/>
    <x v="15"/>
    <n v="1557000000"/>
    <d v="2025-11-25T02:50:47"/>
    <x v="4"/>
    <x v="11"/>
  </r>
  <r>
    <x v="0"/>
    <x v="3"/>
    <x v="0"/>
    <x v="15"/>
    <n v="1360000000"/>
    <d v="2025-11-25T02:50:47"/>
    <x v="4"/>
    <x v="11"/>
  </r>
  <r>
    <x v="0"/>
    <x v="4"/>
    <x v="0"/>
    <x v="15"/>
    <n v="1772000000"/>
    <d v="2025-11-25T02:50:47"/>
    <x v="4"/>
    <x v="11"/>
  </r>
  <r>
    <x v="0"/>
    <x v="5"/>
    <x v="0"/>
    <x v="15"/>
    <n v="2680000000"/>
    <d v="2025-11-25T02:50:47"/>
    <x v="4"/>
    <x v="11"/>
  </r>
  <r>
    <x v="0"/>
    <x v="6"/>
    <x v="0"/>
    <x v="15"/>
    <n v="140000000"/>
    <d v="2025-11-25T02:50:47"/>
    <x v="4"/>
    <x v="11"/>
  </r>
  <r>
    <x v="0"/>
    <x v="7"/>
    <x v="0"/>
    <x v="15"/>
    <n v="144000000"/>
    <d v="2025-11-25T02:50:47"/>
    <x v="4"/>
    <x v="11"/>
  </r>
  <r>
    <x v="0"/>
    <x v="8"/>
    <x v="0"/>
    <x v="15"/>
    <n v="158000000"/>
    <d v="2025-11-25T02:50:47"/>
    <x v="4"/>
    <x v="11"/>
  </r>
  <r>
    <x v="0"/>
    <x v="9"/>
    <x v="0"/>
    <x v="15"/>
    <n v="324000000"/>
    <d v="2025-11-25T02:50:47"/>
    <x v="4"/>
    <x v="11"/>
  </r>
  <r>
    <x v="0"/>
    <x v="10"/>
    <x v="0"/>
    <x v="15"/>
    <n v="410000000"/>
    <d v="2025-11-25T02:50:47"/>
    <x v="4"/>
    <x v="11"/>
  </r>
  <r>
    <x v="0"/>
    <x v="11"/>
    <x v="0"/>
    <x v="15"/>
    <n v="410000000"/>
    <d v="2025-11-25T02:50:47"/>
    <x v="4"/>
    <x v="11"/>
  </r>
  <r>
    <x v="0"/>
    <x v="12"/>
    <x v="0"/>
    <x v="15"/>
    <n v="7109000000"/>
    <d v="2025-11-25T02:50:47"/>
    <x v="4"/>
    <x v="11"/>
  </r>
  <r>
    <x v="0"/>
    <x v="13"/>
    <x v="0"/>
    <x v="15"/>
    <n v="4249000000"/>
    <d v="2025-11-25T02:50:47"/>
    <x v="4"/>
    <x v="11"/>
  </r>
  <r>
    <x v="0"/>
    <x v="14"/>
    <x v="0"/>
    <x v="15"/>
    <n v="3083000000"/>
    <d v="2025-11-25T02:50:47"/>
    <x v="4"/>
    <x v="11"/>
  </r>
  <r>
    <x v="0"/>
    <x v="15"/>
    <x v="0"/>
    <x v="15"/>
    <n v="5213000000"/>
    <d v="2025-11-25T02:50:47"/>
    <x v="4"/>
    <x v="11"/>
  </r>
  <r>
    <x v="0"/>
    <x v="16"/>
    <x v="0"/>
    <x v="15"/>
    <n v="7850258000"/>
    <d v="2025-11-25T02:50:47"/>
    <x v="4"/>
    <x v="11"/>
  </r>
  <r>
    <x v="0"/>
    <x v="17"/>
    <x v="0"/>
    <x v="15"/>
    <n v="2347791000"/>
    <d v="2025-11-25T02:50:47"/>
    <x v="4"/>
    <x v="11"/>
  </r>
  <r>
    <x v="0"/>
    <x v="18"/>
    <x v="0"/>
    <x v="15"/>
    <n v="1816359000"/>
    <d v="2025-11-25T02:50:47"/>
    <x v="4"/>
    <x v="11"/>
  </r>
  <r>
    <x v="0"/>
    <x v="19"/>
    <x v="0"/>
    <x v="15"/>
    <n v="1415682000"/>
    <d v="2025-11-25T02:50:47"/>
    <x v="4"/>
    <x v="11"/>
  </r>
  <r>
    <x v="0"/>
    <x v="0"/>
    <x v="0"/>
    <x v="16"/>
    <n v="1535000000"/>
    <d v="2025-11-25T02:50:47"/>
    <x v="6"/>
    <x v="12"/>
  </r>
  <r>
    <x v="0"/>
    <x v="1"/>
    <x v="0"/>
    <x v="16"/>
    <n v="2883000000"/>
    <d v="2025-11-25T02:50:47"/>
    <x v="6"/>
    <x v="12"/>
  </r>
  <r>
    <x v="0"/>
    <x v="2"/>
    <x v="0"/>
    <x v="16"/>
    <n v="5734000000"/>
    <d v="2025-11-25T02:50:47"/>
    <x v="6"/>
    <x v="12"/>
  </r>
  <r>
    <x v="0"/>
    <x v="3"/>
    <x v="0"/>
    <x v="16"/>
    <n v="1891000000"/>
    <d v="2025-11-25T02:50:47"/>
    <x v="6"/>
    <x v="12"/>
  </r>
  <r>
    <x v="0"/>
    <x v="4"/>
    <x v="0"/>
    <x v="16"/>
    <n v="-4840000000"/>
    <d v="2025-11-25T02:50:47"/>
    <x v="6"/>
    <x v="12"/>
  </r>
  <r>
    <x v="0"/>
    <x v="5"/>
    <x v="0"/>
    <x v="16"/>
    <n v="-3008000000"/>
    <d v="2025-11-25T02:50:47"/>
    <x v="6"/>
    <x v="12"/>
  </r>
  <r>
    <x v="0"/>
    <x v="6"/>
    <x v="0"/>
    <x v="16"/>
    <n v="958000000"/>
    <d v="2025-11-25T02:50:47"/>
    <x v="6"/>
    <x v="12"/>
  </r>
  <r>
    <x v="0"/>
    <x v="7"/>
    <x v="0"/>
    <x v="16"/>
    <n v="918000000"/>
    <d v="2025-11-25T02:50:47"/>
    <x v="6"/>
    <x v="12"/>
  </r>
  <r>
    <x v="0"/>
    <x v="8"/>
    <x v="0"/>
    <x v="16"/>
    <n v="-1682000000"/>
    <d v="2025-11-25T02:50:47"/>
    <x v="6"/>
    <x v="12"/>
  </r>
  <r>
    <x v="0"/>
    <x v="9"/>
    <x v="0"/>
    <x v="16"/>
    <n v="-28226000000"/>
    <d v="2025-11-25T02:50:47"/>
    <x v="6"/>
    <x v="12"/>
  </r>
  <r>
    <x v="0"/>
    <x v="10"/>
    <x v="0"/>
    <x v="16"/>
    <n v="-2906000000"/>
    <d v="2025-11-25T02:50:47"/>
    <x v="6"/>
    <x v="12"/>
  </r>
  <r>
    <x v="0"/>
    <x v="11"/>
    <x v="0"/>
    <x v="16"/>
    <n v="4216000000"/>
    <d v="2025-11-25T02:50:47"/>
    <x v="6"/>
    <x v="12"/>
  </r>
  <r>
    <x v="0"/>
    <x v="12"/>
    <x v="0"/>
    <x v="16"/>
    <n v="4877000000"/>
    <d v="2025-11-25T02:50:47"/>
    <x v="6"/>
    <x v="12"/>
  </r>
  <r>
    <x v="0"/>
    <x v="13"/>
    <x v="0"/>
    <x v="16"/>
    <n v="8093000000"/>
    <d v="2025-11-25T02:50:47"/>
    <x v="6"/>
    <x v="12"/>
  </r>
  <r>
    <x v="0"/>
    <x v="14"/>
    <x v="0"/>
    <x v="16"/>
    <n v="5206000000"/>
    <d v="2025-11-25T02:50:47"/>
    <x v="6"/>
    <x v="12"/>
  </r>
  <r>
    <x v="0"/>
    <x v="15"/>
    <x v="0"/>
    <x v="16"/>
    <n v="326391000"/>
    <d v="2025-11-25T02:50:47"/>
    <x v="6"/>
    <x v="12"/>
  </r>
  <r>
    <x v="0"/>
    <x v="16"/>
    <x v="0"/>
    <x v="16"/>
    <n v="932392000"/>
    <d v="2025-11-25T02:50:47"/>
    <x v="6"/>
    <x v="12"/>
  </r>
  <r>
    <x v="0"/>
    <x v="17"/>
    <x v="0"/>
    <x v="16"/>
    <n v="4672612000"/>
    <d v="2025-11-25T02:50:47"/>
    <x v="6"/>
    <x v="12"/>
  </r>
  <r>
    <x v="0"/>
    <x v="18"/>
    <x v="0"/>
    <x v="16"/>
    <n v="4009595000"/>
    <d v="2025-11-25T02:50:47"/>
    <x v="6"/>
    <x v="12"/>
  </r>
  <r>
    <x v="0"/>
    <x v="19"/>
    <x v="0"/>
    <x v="16"/>
    <n v="4206254000"/>
    <d v="2025-11-25T02:50:47"/>
    <x v="6"/>
    <x v="12"/>
  </r>
  <r>
    <x v="0"/>
    <x v="0"/>
    <x v="0"/>
    <x v="17"/>
    <n v="417000000"/>
    <d v="2025-11-25T02:50:47"/>
    <x v="7"/>
    <x v="13"/>
  </r>
  <r>
    <x v="0"/>
    <x v="1"/>
    <x v="0"/>
    <x v="17"/>
    <n v="-324000000"/>
    <d v="2025-11-25T02:50:47"/>
    <x v="7"/>
    <x v="13"/>
  </r>
  <r>
    <x v="0"/>
    <x v="2"/>
    <x v="0"/>
    <x v="17"/>
    <n v="1652000000"/>
    <d v="2025-11-25T02:50:47"/>
    <x v="7"/>
    <x v="13"/>
  </r>
  <r>
    <x v="0"/>
    <x v="3"/>
    <x v="0"/>
    <x v="17"/>
    <n v="578000000"/>
    <d v="2025-11-25T02:50:47"/>
    <x v="7"/>
    <x v="13"/>
  </r>
  <r>
    <x v="0"/>
    <x v="4"/>
    <x v="0"/>
    <x v="17"/>
    <n v="64000000"/>
    <d v="2025-11-25T02:50:47"/>
    <x v="7"/>
    <x v="13"/>
  </r>
  <r>
    <x v="0"/>
    <x v="5"/>
    <x v="0"/>
    <x v="17"/>
    <n v="674000000"/>
    <d v="2025-11-25T02:50:47"/>
    <x v="7"/>
    <x v="13"/>
  </r>
  <r>
    <x v="0"/>
    <x v="6"/>
    <x v="0"/>
    <x v="17"/>
    <n v="672000000"/>
    <d v="2025-11-25T02:50:47"/>
    <x v="7"/>
    <x v="13"/>
  </r>
  <r>
    <x v="0"/>
    <x v="7"/>
    <x v="0"/>
    <x v="17"/>
    <n v="-585000000"/>
    <d v="2025-11-25T02:50:47"/>
    <x v="7"/>
    <x v="13"/>
  </r>
  <r>
    <x v="0"/>
    <x v="8"/>
    <x v="0"/>
    <x v="17"/>
    <n v="-442000000"/>
    <d v="2025-11-25T02:50:47"/>
    <x v="7"/>
    <x v="13"/>
  </r>
  <r>
    <x v="0"/>
    <x v="9"/>
    <x v="0"/>
    <x v="17"/>
    <n v="-5469000000"/>
    <d v="2025-11-25T02:50:47"/>
    <x v="7"/>
    <x v="13"/>
  </r>
  <r>
    <x v="0"/>
    <x v="10"/>
    <x v="0"/>
    <x v="17"/>
    <n v="1637000000"/>
    <d v="2025-11-25T02:50:47"/>
    <x v="7"/>
    <x v="13"/>
  </r>
  <r>
    <x v="0"/>
    <x v="11"/>
    <x v="0"/>
    <x v="17"/>
    <n v="1928000000"/>
    <d v="2025-11-25T02:50:47"/>
    <x v="7"/>
    <x v="13"/>
  </r>
  <r>
    <x v="0"/>
    <x v="12"/>
    <x v="0"/>
    <x v="17"/>
    <n v="2876000000"/>
    <d v="2025-11-25T02:50:47"/>
    <x v="7"/>
    <x v="13"/>
  </r>
  <r>
    <x v="0"/>
    <x v="13"/>
    <x v="0"/>
    <x v="17"/>
    <n v="3509000000"/>
    <d v="2025-11-25T02:50:47"/>
    <x v="7"/>
    <x v="13"/>
  </r>
  <r>
    <x v="0"/>
    <x v="14"/>
    <x v="0"/>
    <x v="17"/>
    <n v="2174000000"/>
    <d v="2025-11-25T02:50:47"/>
    <x v="7"/>
    <x v="13"/>
  </r>
  <r>
    <x v="0"/>
    <x v="15"/>
    <x v="0"/>
    <x v="17"/>
    <n v="610789000"/>
    <d v="2025-11-25T02:50:47"/>
    <x v="7"/>
    <x v="13"/>
  </r>
  <r>
    <x v="0"/>
    <x v="16"/>
    <x v="0"/>
    <x v="17"/>
    <n v="220438000"/>
    <d v="2025-11-25T02:50:47"/>
    <x v="7"/>
    <x v="13"/>
  </r>
  <r>
    <x v="0"/>
    <x v="17"/>
    <x v="0"/>
    <x v="17"/>
    <n v="1860254000"/>
    <d v="2025-11-25T02:50:47"/>
    <x v="7"/>
    <x v="13"/>
  </r>
  <r>
    <x v="0"/>
    <x v="18"/>
    <x v="0"/>
    <x v="17"/>
    <n v="1457144000"/>
    <d v="2025-11-25T02:50:47"/>
    <x v="7"/>
    <x v="13"/>
  </r>
  <r>
    <x v="0"/>
    <x v="19"/>
    <x v="0"/>
    <x v="17"/>
    <n v="1582524000"/>
    <d v="2025-11-25T02:50:47"/>
    <x v="7"/>
    <x v="13"/>
  </r>
  <r>
    <x v="0"/>
    <x v="0"/>
    <x v="0"/>
    <x v="18"/>
    <m/>
    <d v="2025-11-25T02:50:47"/>
    <x v="5"/>
    <x v="9"/>
  </r>
  <r>
    <x v="0"/>
    <x v="1"/>
    <x v="0"/>
    <x v="18"/>
    <m/>
    <d v="2025-11-25T02:50:47"/>
    <x v="5"/>
    <x v="9"/>
  </r>
  <r>
    <x v="0"/>
    <x v="2"/>
    <x v="0"/>
    <x v="18"/>
    <m/>
    <d v="2025-11-25T02:50:47"/>
    <x v="5"/>
    <x v="9"/>
  </r>
  <r>
    <x v="0"/>
    <x v="3"/>
    <x v="0"/>
    <x v="18"/>
    <m/>
    <d v="2025-11-25T02:50:47"/>
    <x v="5"/>
    <x v="9"/>
  </r>
  <r>
    <x v="0"/>
    <x v="4"/>
    <x v="0"/>
    <x v="18"/>
    <m/>
    <d v="2025-11-25T02:50:47"/>
    <x v="5"/>
    <x v="9"/>
  </r>
  <r>
    <x v="0"/>
    <x v="5"/>
    <x v="0"/>
    <x v="18"/>
    <m/>
    <d v="2025-11-25T02:50:47"/>
    <x v="5"/>
    <x v="9"/>
  </r>
  <r>
    <x v="0"/>
    <x v="6"/>
    <x v="0"/>
    <x v="18"/>
    <m/>
    <d v="2025-11-25T02:50:47"/>
    <x v="5"/>
    <x v="9"/>
  </r>
  <r>
    <x v="0"/>
    <x v="7"/>
    <x v="0"/>
    <x v="18"/>
    <m/>
    <d v="2025-11-25T02:50:47"/>
    <x v="5"/>
    <x v="9"/>
  </r>
  <r>
    <x v="0"/>
    <x v="8"/>
    <x v="0"/>
    <x v="18"/>
    <m/>
    <d v="2025-11-25T02:50:47"/>
    <x v="5"/>
    <x v="9"/>
  </r>
  <r>
    <x v="0"/>
    <x v="9"/>
    <x v="0"/>
    <x v="18"/>
    <m/>
    <d v="2025-11-25T02:50:47"/>
    <x v="5"/>
    <x v="9"/>
  </r>
  <r>
    <x v="0"/>
    <x v="10"/>
    <x v="0"/>
    <x v="18"/>
    <m/>
    <d v="2025-11-25T02:50:47"/>
    <x v="5"/>
    <x v="9"/>
  </r>
  <r>
    <x v="0"/>
    <x v="11"/>
    <x v="0"/>
    <x v="18"/>
    <m/>
    <d v="2025-11-25T02:50:47"/>
    <x v="5"/>
    <x v="9"/>
  </r>
  <r>
    <x v="0"/>
    <x v="12"/>
    <x v="0"/>
    <x v="18"/>
    <m/>
    <d v="2025-11-25T02:50:47"/>
    <x v="5"/>
    <x v="9"/>
  </r>
  <r>
    <x v="0"/>
    <x v="13"/>
    <x v="0"/>
    <x v="18"/>
    <m/>
    <d v="2025-11-25T02:50:47"/>
    <x v="5"/>
    <x v="9"/>
  </r>
  <r>
    <x v="0"/>
    <x v="14"/>
    <x v="0"/>
    <x v="18"/>
    <m/>
    <d v="2025-11-25T02:50:47"/>
    <x v="5"/>
    <x v="9"/>
  </r>
  <r>
    <x v="0"/>
    <x v="15"/>
    <x v="0"/>
    <x v="18"/>
    <m/>
    <d v="2025-11-25T02:50:47"/>
    <x v="5"/>
    <x v="9"/>
  </r>
  <r>
    <x v="0"/>
    <x v="16"/>
    <x v="0"/>
    <x v="18"/>
    <m/>
    <d v="2025-11-25T02:50:47"/>
    <x v="5"/>
    <x v="9"/>
  </r>
  <r>
    <x v="0"/>
    <x v="17"/>
    <x v="0"/>
    <x v="18"/>
    <m/>
    <d v="2025-11-25T02:50:47"/>
    <x v="5"/>
    <x v="9"/>
  </r>
  <r>
    <x v="0"/>
    <x v="18"/>
    <x v="0"/>
    <x v="18"/>
    <m/>
    <d v="2025-11-25T02:50:47"/>
    <x v="5"/>
    <x v="9"/>
  </r>
  <r>
    <x v="0"/>
    <x v="19"/>
    <x v="0"/>
    <x v="18"/>
    <m/>
    <d v="2025-11-25T02:50:47"/>
    <x v="5"/>
    <x v="9"/>
  </r>
  <r>
    <x v="0"/>
    <x v="0"/>
    <x v="0"/>
    <x v="19"/>
    <n v="1118000000"/>
    <d v="2025-11-25T02:50:47"/>
    <x v="8"/>
    <x v="14"/>
  </r>
  <r>
    <x v="0"/>
    <x v="1"/>
    <x v="0"/>
    <x v="19"/>
    <n v="3207000000"/>
    <d v="2025-11-25T02:50:47"/>
    <x v="8"/>
    <x v="14"/>
  </r>
  <r>
    <x v="0"/>
    <x v="2"/>
    <x v="0"/>
    <x v="19"/>
    <n v="4082000000"/>
    <d v="2025-11-25T02:50:47"/>
    <x v="8"/>
    <x v="14"/>
  </r>
  <r>
    <x v="0"/>
    <x v="3"/>
    <x v="0"/>
    <x v="19"/>
    <n v="1402000000"/>
    <d v="2025-11-25T02:50:47"/>
    <x v="8"/>
    <x v="14"/>
  </r>
  <r>
    <x v="0"/>
    <x v="4"/>
    <x v="0"/>
    <x v="19"/>
    <n v="-4904000000"/>
    <d v="2025-11-25T02:50:47"/>
    <x v="8"/>
    <x v="14"/>
  </r>
  <r>
    <x v="0"/>
    <x v="5"/>
    <x v="0"/>
    <x v="19"/>
    <n v="-2348000000"/>
    <d v="2025-11-25T02:50:47"/>
    <x v="8"/>
    <x v="14"/>
  </r>
  <r>
    <x v="0"/>
    <x v="6"/>
    <x v="0"/>
    <x v="19"/>
    <n v="286000000"/>
    <d v="2025-11-25T02:50:47"/>
    <x v="8"/>
    <x v="14"/>
  </r>
  <r>
    <x v="0"/>
    <x v="7"/>
    <x v="0"/>
    <x v="19"/>
    <n v="1503000000"/>
    <d v="2025-11-25T02:50:47"/>
    <x v="8"/>
    <x v="14"/>
  </r>
  <r>
    <x v="0"/>
    <x v="8"/>
    <x v="0"/>
    <x v="19"/>
    <n v="-1240000000"/>
    <d v="2025-11-25T02:50:47"/>
    <x v="8"/>
    <x v="14"/>
  </r>
  <r>
    <x v="0"/>
    <x v="9"/>
    <x v="0"/>
    <x v="19"/>
    <n v="-22757000000"/>
    <d v="2025-11-25T02:50:47"/>
    <x v="8"/>
    <x v="14"/>
  </r>
  <r>
    <x v="0"/>
    <x v="10"/>
    <x v="0"/>
    <x v="19"/>
    <n v="-4543000000"/>
    <d v="2025-11-25T02:50:47"/>
    <x v="8"/>
    <x v="14"/>
  </r>
  <r>
    <x v="0"/>
    <x v="11"/>
    <x v="0"/>
    <x v="19"/>
    <n v="2288000000"/>
    <d v="2025-11-25T02:50:47"/>
    <x v="8"/>
    <x v="14"/>
  </r>
  <r>
    <x v="0"/>
    <x v="12"/>
    <x v="0"/>
    <x v="19"/>
    <n v="2001000000"/>
    <d v="2025-11-25T02:50:47"/>
    <x v="8"/>
    <x v="14"/>
  </r>
  <r>
    <x v="0"/>
    <x v="13"/>
    <x v="0"/>
    <x v="19"/>
    <n v="4584000000"/>
    <d v="2025-11-25T02:50:47"/>
    <x v="8"/>
    <x v="14"/>
  </r>
  <r>
    <x v="0"/>
    <x v="14"/>
    <x v="0"/>
    <x v="19"/>
    <n v="3032000000"/>
    <d v="2025-11-25T02:50:47"/>
    <x v="8"/>
    <x v="14"/>
  </r>
  <r>
    <x v="0"/>
    <x v="15"/>
    <x v="0"/>
    <x v="19"/>
    <n v="-284398000"/>
    <d v="2025-11-25T02:50:47"/>
    <x v="8"/>
    <x v="14"/>
  </r>
  <r>
    <x v="0"/>
    <x v="16"/>
    <x v="0"/>
    <x v="19"/>
    <m/>
    <d v="2025-11-25T02:50:47"/>
    <x v="8"/>
    <x v="14"/>
  </r>
  <r>
    <x v="0"/>
    <x v="17"/>
    <x v="0"/>
    <x v="19"/>
    <m/>
    <d v="2025-11-25T02:50:47"/>
    <x v="8"/>
    <x v="14"/>
  </r>
  <r>
    <x v="0"/>
    <x v="18"/>
    <x v="0"/>
    <x v="19"/>
    <m/>
    <d v="2025-11-25T02:50:47"/>
    <x v="8"/>
    <x v="14"/>
  </r>
  <r>
    <x v="0"/>
    <x v="19"/>
    <x v="0"/>
    <x v="19"/>
    <m/>
    <d v="2025-11-25T02:50:47"/>
    <x v="8"/>
    <x v="14"/>
  </r>
  <r>
    <x v="0"/>
    <x v="0"/>
    <x v="0"/>
    <x v="20"/>
    <m/>
    <d v="2025-11-25T02:50:47"/>
    <x v="9"/>
    <x v="15"/>
  </r>
  <r>
    <x v="0"/>
    <x v="1"/>
    <x v="0"/>
    <x v="20"/>
    <m/>
    <d v="2025-11-25T02:50:47"/>
    <x v="9"/>
    <x v="15"/>
  </r>
  <r>
    <x v="0"/>
    <x v="2"/>
    <x v="0"/>
    <x v="20"/>
    <m/>
    <d v="2025-11-25T02:50:47"/>
    <x v="9"/>
    <x v="15"/>
  </r>
  <r>
    <x v="0"/>
    <x v="3"/>
    <x v="0"/>
    <x v="20"/>
    <m/>
    <d v="2025-11-25T02:50:47"/>
    <x v="9"/>
    <x v="15"/>
  </r>
  <r>
    <x v="0"/>
    <x v="4"/>
    <x v="0"/>
    <x v="20"/>
    <m/>
    <d v="2025-11-25T02:50:47"/>
    <x v="9"/>
    <x v="15"/>
  </r>
  <r>
    <x v="0"/>
    <x v="5"/>
    <x v="0"/>
    <x v="20"/>
    <m/>
    <d v="2025-11-25T02:50:47"/>
    <x v="9"/>
    <x v="15"/>
  </r>
  <r>
    <x v="0"/>
    <x v="6"/>
    <x v="0"/>
    <x v="20"/>
    <m/>
    <d v="2025-11-25T02:50:47"/>
    <x v="9"/>
    <x v="15"/>
  </r>
  <r>
    <x v="0"/>
    <x v="7"/>
    <x v="0"/>
    <x v="20"/>
    <m/>
    <d v="2025-11-25T02:50:47"/>
    <x v="9"/>
    <x v="15"/>
  </r>
  <r>
    <x v="0"/>
    <x v="8"/>
    <x v="0"/>
    <x v="20"/>
    <m/>
    <d v="2025-11-25T02:50:47"/>
    <x v="9"/>
    <x v="15"/>
  </r>
  <r>
    <x v="0"/>
    <x v="9"/>
    <x v="0"/>
    <x v="20"/>
    <m/>
    <d v="2025-11-25T02:50:47"/>
    <x v="9"/>
    <x v="15"/>
  </r>
  <r>
    <x v="0"/>
    <x v="10"/>
    <x v="0"/>
    <x v="20"/>
    <m/>
    <d v="2025-11-25T02:50:47"/>
    <x v="9"/>
    <x v="15"/>
  </r>
  <r>
    <x v="0"/>
    <x v="11"/>
    <x v="0"/>
    <x v="20"/>
    <m/>
    <d v="2025-11-25T02:50:47"/>
    <x v="9"/>
    <x v="15"/>
  </r>
  <r>
    <x v="0"/>
    <x v="12"/>
    <x v="0"/>
    <x v="20"/>
    <m/>
    <d v="2025-11-25T02:50:47"/>
    <x v="9"/>
    <x v="15"/>
  </r>
  <r>
    <x v="0"/>
    <x v="13"/>
    <x v="0"/>
    <x v="20"/>
    <m/>
    <d v="2025-11-25T02:50:47"/>
    <x v="9"/>
    <x v="15"/>
  </r>
  <r>
    <x v="0"/>
    <x v="14"/>
    <x v="0"/>
    <x v="20"/>
    <m/>
    <d v="2025-11-25T02:50:47"/>
    <x v="9"/>
    <x v="15"/>
  </r>
  <r>
    <x v="0"/>
    <x v="15"/>
    <x v="0"/>
    <x v="20"/>
    <m/>
    <d v="2025-11-25T02:50:47"/>
    <x v="9"/>
    <x v="15"/>
  </r>
  <r>
    <x v="0"/>
    <x v="16"/>
    <x v="0"/>
    <x v="20"/>
    <m/>
    <d v="2025-11-25T02:50:47"/>
    <x v="9"/>
    <x v="15"/>
  </r>
  <r>
    <x v="0"/>
    <x v="17"/>
    <x v="0"/>
    <x v="20"/>
    <m/>
    <d v="2025-11-25T02:50:47"/>
    <x v="9"/>
    <x v="15"/>
  </r>
  <r>
    <x v="0"/>
    <x v="18"/>
    <x v="0"/>
    <x v="20"/>
    <m/>
    <d v="2025-11-25T02:50:47"/>
    <x v="9"/>
    <x v="15"/>
  </r>
  <r>
    <x v="0"/>
    <x v="19"/>
    <x v="0"/>
    <x v="20"/>
    <m/>
    <d v="2025-11-25T02:50:47"/>
    <x v="9"/>
    <x v="15"/>
  </r>
  <r>
    <x v="0"/>
    <x v="0"/>
    <x v="0"/>
    <x v="21"/>
    <n v="1908000000"/>
    <d v="2025-11-25T02:50:47"/>
    <x v="3"/>
    <x v="16"/>
  </r>
  <r>
    <x v="0"/>
    <x v="1"/>
    <x v="0"/>
    <x v="21"/>
    <n v="3210000000"/>
    <d v="2025-11-25T02:50:47"/>
    <x v="3"/>
    <x v="16"/>
  </r>
  <r>
    <x v="0"/>
    <x v="2"/>
    <x v="0"/>
    <x v="21"/>
    <n v="6056000000"/>
    <d v="2025-11-25T02:50:47"/>
    <x v="3"/>
    <x v="16"/>
  </r>
  <r>
    <x v="0"/>
    <x v="3"/>
    <x v="0"/>
    <x v="21"/>
    <n v="2301000000"/>
    <d v="2025-11-25T02:50:47"/>
    <x v="3"/>
    <x v="16"/>
  </r>
  <r>
    <x v="0"/>
    <x v="4"/>
    <x v="0"/>
    <x v="21"/>
    <n v="-4414000000"/>
    <d v="2025-11-25T02:50:47"/>
    <x v="3"/>
    <x v="16"/>
  </r>
  <r>
    <x v="0"/>
    <x v="5"/>
    <x v="0"/>
    <x v="21"/>
    <n v="-2615000000"/>
    <d v="2025-11-25T02:50:47"/>
    <x v="3"/>
    <x v="16"/>
  </r>
  <r>
    <x v="0"/>
    <x v="6"/>
    <x v="0"/>
    <x v="21"/>
    <n v="1969000000"/>
    <d v="2025-11-25T02:50:47"/>
    <x v="3"/>
    <x v="16"/>
  </r>
  <r>
    <x v="0"/>
    <x v="7"/>
    <x v="0"/>
    <x v="21"/>
    <n v="847000000"/>
    <d v="2025-11-25T02:50:47"/>
    <x v="3"/>
    <x v="16"/>
  </r>
  <r>
    <x v="0"/>
    <x v="8"/>
    <x v="0"/>
    <x v="21"/>
    <n v="-144000000"/>
    <d v="2025-11-25T02:50:47"/>
    <x v="3"/>
    <x v="16"/>
  </r>
  <r>
    <x v="0"/>
    <x v="9"/>
    <x v="0"/>
    <x v="21"/>
    <n v="-25875000000"/>
    <d v="2025-11-25T02:50:47"/>
    <x v="3"/>
    <x v="16"/>
  </r>
  <r>
    <x v="0"/>
    <x v="10"/>
    <x v="0"/>
    <x v="21"/>
    <n v="-636000000"/>
    <d v="2025-11-25T02:50:47"/>
    <x v="3"/>
    <x v="16"/>
  </r>
  <r>
    <x v="0"/>
    <x v="11"/>
    <x v="0"/>
    <x v="21"/>
    <n v="4822000000"/>
    <d v="2025-11-25T02:50:47"/>
    <x v="3"/>
    <x v="16"/>
  </r>
  <r>
    <x v="0"/>
    <x v="12"/>
    <x v="0"/>
    <x v="21"/>
    <n v="5073000000"/>
    <d v="2025-11-25T02:50:47"/>
    <x v="3"/>
    <x v="16"/>
  </r>
  <r>
    <x v="0"/>
    <x v="13"/>
    <x v="0"/>
    <x v="21"/>
    <n v="8218000000"/>
    <d v="2025-11-25T02:50:47"/>
    <x v="3"/>
    <x v="16"/>
  </r>
  <r>
    <x v="0"/>
    <x v="14"/>
    <x v="0"/>
    <x v="21"/>
    <n v="5729000000"/>
    <d v="2025-11-25T02:50:47"/>
    <x v="3"/>
    <x v="16"/>
  </r>
  <r>
    <x v="0"/>
    <x v="15"/>
    <x v="0"/>
    <x v="21"/>
    <n v="574000000"/>
    <d v="2025-11-25T02:50:47"/>
    <x v="3"/>
    <x v="16"/>
  </r>
  <r>
    <x v="0"/>
    <x v="16"/>
    <x v="0"/>
    <x v="21"/>
    <n v="1212849000"/>
    <d v="2025-11-25T02:50:47"/>
    <x v="3"/>
    <x v="16"/>
  </r>
  <r>
    <x v="0"/>
    <x v="17"/>
    <x v="0"/>
    <x v="21"/>
    <n v="4951217000"/>
    <d v="2025-11-25T02:50:47"/>
    <x v="3"/>
    <x v="16"/>
  </r>
  <r>
    <x v="0"/>
    <x v="18"/>
    <x v="0"/>
    <x v="21"/>
    <n v="4005534000"/>
    <d v="2025-11-25T02:50:47"/>
    <x v="3"/>
    <x v="16"/>
  </r>
  <r>
    <x v="0"/>
    <x v="19"/>
    <x v="0"/>
    <x v="21"/>
    <n v="4376297000"/>
    <d v="2025-11-25T02:50:47"/>
    <x v="3"/>
    <x v="16"/>
  </r>
  <r>
    <x v="0"/>
    <x v="0"/>
    <x v="0"/>
    <x v="22"/>
    <n v="4174000000"/>
    <d v="2025-11-25T02:50:47"/>
    <x v="3"/>
    <x v="17"/>
  </r>
  <r>
    <x v="0"/>
    <x v="1"/>
    <x v="0"/>
    <x v="22"/>
    <n v="4750000000"/>
    <d v="2025-11-25T02:50:47"/>
    <x v="3"/>
    <x v="17"/>
  </r>
  <r>
    <x v="0"/>
    <x v="2"/>
    <x v="0"/>
    <x v="22"/>
    <n v="7613000000"/>
    <d v="2025-11-25T02:50:47"/>
    <x v="3"/>
    <x v="17"/>
  </r>
  <r>
    <x v="0"/>
    <x v="3"/>
    <x v="0"/>
    <x v="22"/>
    <n v="3661000000"/>
    <d v="2025-11-25T02:50:47"/>
    <x v="3"/>
    <x v="17"/>
  </r>
  <r>
    <x v="0"/>
    <x v="4"/>
    <x v="0"/>
    <x v="22"/>
    <n v="-2642000000"/>
    <d v="2025-11-25T02:50:47"/>
    <x v="3"/>
    <x v="17"/>
  </r>
  <r>
    <x v="0"/>
    <x v="5"/>
    <x v="0"/>
    <x v="22"/>
    <n v="65000000"/>
    <d v="2025-11-25T02:50:47"/>
    <x v="3"/>
    <x v="17"/>
  </r>
  <r>
    <x v="0"/>
    <x v="6"/>
    <x v="0"/>
    <x v="22"/>
    <n v="2109000000"/>
    <d v="2025-11-25T02:50:47"/>
    <x v="3"/>
    <x v="17"/>
  </r>
  <r>
    <x v="0"/>
    <x v="7"/>
    <x v="0"/>
    <x v="22"/>
    <n v="991000000"/>
    <d v="2025-11-25T02:50:47"/>
    <x v="3"/>
    <x v="17"/>
  </r>
  <r>
    <x v="0"/>
    <x v="8"/>
    <x v="0"/>
    <x v="22"/>
    <n v="14000000"/>
    <d v="2025-11-25T02:50:47"/>
    <x v="3"/>
    <x v="17"/>
  </r>
  <r>
    <x v="0"/>
    <x v="9"/>
    <x v="0"/>
    <x v="22"/>
    <n v="-25551000000"/>
    <d v="2025-11-25T02:50:47"/>
    <x v="3"/>
    <x v="17"/>
  </r>
  <r>
    <x v="0"/>
    <x v="10"/>
    <x v="0"/>
    <x v="22"/>
    <n v="-226000000"/>
    <d v="2025-11-25T02:50:47"/>
    <x v="3"/>
    <x v="17"/>
  </r>
  <r>
    <x v="0"/>
    <x v="11"/>
    <x v="0"/>
    <x v="22"/>
    <n v="5232000000"/>
    <d v="2025-11-25T02:50:47"/>
    <x v="3"/>
    <x v="17"/>
  </r>
  <r>
    <x v="0"/>
    <x v="12"/>
    <x v="0"/>
    <x v="22"/>
    <n v="12182000000"/>
    <d v="2025-11-25T02:50:47"/>
    <x v="3"/>
    <x v="17"/>
  </r>
  <r>
    <x v="0"/>
    <x v="13"/>
    <x v="0"/>
    <x v="22"/>
    <n v="12467000000"/>
    <d v="2025-11-25T02:50:47"/>
    <x v="3"/>
    <x v="17"/>
  </r>
  <r>
    <x v="0"/>
    <x v="14"/>
    <x v="0"/>
    <x v="22"/>
    <n v="8812000000"/>
    <d v="2025-11-25T02:50:47"/>
    <x v="3"/>
    <x v="17"/>
  </r>
  <r>
    <x v="0"/>
    <x v="15"/>
    <x v="0"/>
    <x v="22"/>
    <n v="5787000000"/>
    <d v="2025-11-25T02:50:47"/>
    <x v="3"/>
    <x v="17"/>
  </r>
  <r>
    <x v="0"/>
    <x v="16"/>
    <x v="0"/>
    <x v="22"/>
    <n v="9063107000"/>
    <d v="2025-11-25T02:50:47"/>
    <x v="3"/>
    <x v="17"/>
  </r>
  <r>
    <x v="0"/>
    <x v="17"/>
    <x v="0"/>
    <x v="22"/>
    <n v="7299008000"/>
    <d v="2025-11-25T02:50:47"/>
    <x v="3"/>
    <x v="17"/>
  </r>
  <r>
    <x v="0"/>
    <x v="18"/>
    <x v="0"/>
    <x v="22"/>
    <n v="5821893000"/>
    <d v="2025-11-25T02:50:47"/>
    <x v="3"/>
    <x v="17"/>
  </r>
  <r>
    <x v="0"/>
    <x v="19"/>
    <x v="0"/>
    <x v="22"/>
    <n v="5791979000"/>
    <d v="2025-11-25T02:50:47"/>
    <x v="3"/>
    <x v="17"/>
  </r>
  <r>
    <x v="0"/>
    <x v="0"/>
    <x v="0"/>
    <x v="23"/>
    <n v="804000000"/>
    <d v="2025-11-25T02:50:47"/>
    <x v="8"/>
    <x v="14"/>
  </r>
  <r>
    <x v="0"/>
    <x v="1"/>
    <x v="0"/>
    <x v="23"/>
    <n v="2855000000"/>
    <d v="2025-11-25T02:50:47"/>
    <x v="8"/>
    <x v="14"/>
  </r>
  <r>
    <x v="0"/>
    <x v="2"/>
    <x v="0"/>
    <x v="23"/>
    <n v="3674000000"/>
    <d v="2025-11-25T02:50:47"/>
    <x v="8"/>
    <x v="14"/>
  </r>
  <r>
    <x v="0"/>
    <x v="3"/>
    <x v="0"/>
    <x v="23"/>
    <n v="1135000000"/>
    <d v="2025-11-25T02:50:47"/>
    <x v="8"/>
    <x v="14"/>
  </r>
  <r>
    <x v="0"/>
    <x v="4"/>
    <x v="0"/>
    <x v="23"/>
    <n v="-4784000000"/>
    <d v="2025-11-25T02:50:47"/>
    <x v="8"/>
    <x v="14"/>
  </r>
  <r>
    <x v="0"/>
    <x v="5"/>
    <x v="0"/>
    <x v="23"/>
    <n v="-3515000000"/>
    <d v="2025-11-25T02:50:47"/>
    <x v="8"/>
    <x v="14"/>
  </r>
  <r>
    <x v="0"/>
    <x v="6"/>
    <x v="0"/>
    <x v="23"/>
    <n v="40000000"/>
    <d v="2025-11-25T02:50:47"/>
    <x v="8"/>
    <x v="14"/>
  </r>
  <r>
    <x v="0"/>
    <x v="7"/>
    <x v="0"/>
    <x v="23"/>
    <n v="1304000000"/>
    <d v="2025-11-25T02:50:47"/>
    <x v="8"/>
    <x v="14"/>
  </r>
  <r>
    <x v="0"/>
    <x v="8"/>
    <x v="0"/>
    <x v="23"/>
    <n v="-1405000000"/>
    <d v="2025-11-25T02:50:47"/>
    <x v="8"/>
    <x v="14"/>
  </r>
  <r>
    <x v="0"/>
    <x v="9"/>
    <x v="0"/>
    <x v="23"/>
    <n v="-23119000000"/>
    <d v="2025-11-25T02:50:47"/>
    <x v="8"/>
    <x v="14"/>
  </r>
  <r>
    <x v="0"/>
    <x v="10"/>
    <x v="0"/>
    <x v="23"/>
    <n v="-5403000000"/>
    <d v="2025-11-25T02:50:47"/>
    <x v="8"/>
    <x v="14"/>
  </r>
  <r>
    <x v="0"/>
    <x v="11"/>
    <x v="0"/>
    <x v="23"/>
    <n v="2232000000"/>
    <d v="2025-11-25T02:50:47"/>
    <x v="8"/>
    <x v="14"/>
  </r>
  <r>
    <x v="0"/>
    <x v="12"/>
    <x v="0"/>
    <x v="23"/>
    <n v="2001000000"/>
    <d v="2025-11-25T02:50:47"/>
    <x v="8"/>
    <x v="14"/>
  </r>
  <r>
    <x v="0"/>
    <x v="13"/>
    <x v="0"/>
    <x v="23"/>
    <n v="4584000000"/>
    <d v="2025-11-25T02:50:47"/>
    <x v="8"/>
    <x v="14"/>
  </r>
  <r>
    <x v="0"/>
    <x v="14"/>
    <x v="0"/>
    <x v="23"/>
    <n v="3032000000"/>
    <d v="2025-11-25T02:50:47"/>
    <x v="8"/>
    <x v="14"/>
  </r>
  <r>
    <x v="0"/>
    <x v="15"/>
    <x v="0"/>
    <x v="23"/>
    <n v="-284398000"/>
    <d v="2025-11-25T02:50:47"/>
    <x v="8"/>
    <x v="14"/>
  </r>
  <r>
    <x v="0"/>
    <x v="16"/>
    <x v="0"/>
    <x v="23"/>
    <n v="711954000"/>
    <d v="2025-11-25T02:50:47"/>
    <x v="8"/>
    <x v="14"/>
  </r>
  <r>
    <x v="0"/>
    <x v="17"/>
    <x v="0"/>
    <x v="23"/>
    <n v="2812358000"/>
    <d v="2025-11-25T02:50:47"/>
    <x v="8"/>
    <x v="14"/>
  </r>
  <r>
    <x v="0"/>
    <x v="18"/>
    <x v="0"/>
    <x v="23"/>
    <n v="2552451000"/>
    <d v="2025-11-25T02:50:47"/>
    <x v="8"/>
    <x v="14"/>
  </r>
  <r>
    <x v="0"/>
    <x v="19"/>
    <x v="0"/>
    <x v="23"/>
    <n v="2623730000"/>
    <d v="2025-11-25T02:50:47"/>
    <x v="8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DCD99-4845-49C7-AB70-41C9B582927B}" name="PivotTable3" cacheId="120" applyNumberFormats="0" applyBorderFormats="0" applyFontFormats="0" applyPatternFormats="0" applyAlignmentFormats="0" applyWidthHeightFormats="1" dataCaption="Values" errorCaption="0" showError="1" missingCaption="0" updatedVersion="8" minRefreshableVersion="3" useAutoFormatting="1" itemPrintTitles="1" createdVersion="8" indent="0" outline="1" outlineData="1" multipleFieldFilters="0" colHeaderCaption=" ">
  <location ref="A4:K23" firstHeaderRow="1" firstDataRow="2" firstDataCol="1" rowPageCount="2" colPageCount="1"/>
  <pivotFields count="11">
    <pivotField axis="axisPage" showAll="0" defaultSubtotal="0">
      <items count="1">
        <item x="0"/>
      </items>
    </pivotField>
    <pivotField numFmtId="14" showAll="0" defaultSubtotal="0">
      <items count="20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Page" showAll="0" defaultSubtotal="0">
      <items count="1">
        <item x="0"/>
      </items>
    </pivotField>
    <pivotField showAll="0" defaultSubtotal="0">
      <items count="24">
        <item x="1"/>
        <item x="2"/>
        <item x="20"/>
        <item x="3"/>
        <item x="14"/>
        <item x="15"/>
        <item x="21"/>
        <item x="22"/>
        <item x="0"/>
        <item x="16"/>
        <item x="17"/>
        <item x="18"/>
        <item x="11"/>
        <item x="10"/>
        <item x="8"/>
        <item x="23"/>
        <item x="19"/>
        <item x="9"/>
        <item x="12"/>
        <item x="7"/>
        <item x="4"/>
        <item x="13"/>
        <item x="6"/>
        <item x="5"/>
      </items>
    </pivotField>
    <pivotField dataField="1" showAll="0" defaultSubtotal="0"/>
    <pivotField numFmtId="22" showAll="0" defaultSubtotal="0"/>
    <pivotField axis="axisRow" showAll="0">
      <items count="11">
        <item x="1"/>
        <item sd="0" x="2"/>
        <item sd="0" x="0"/>
        <item sd="0" x="4"/>
        <item x="3"/>
        <item x="5"/>
        <item x="6"/>
        <item sd="0" x="7"/>
        <item sd="0" x="8"/>
        <item sd="0" x="9"/>
        <item t="default"/>
      </items>
    </pivotField>
    <pivotField axis="axisRow" showAll="0" defaultSubtotal="0">
      <items count="18">
        <item x="2"/>
        <item x="15"/>
        <item x="6"/>
        <item h="1" x="11"/>
        <item h="1" x="16"/>
        <item h="1" x="17"/>
        <item x="0"/>
        <item x="9"/>
        <item x="7"/>
        <item x="14"/>
        <item x="8"/>
        <item x="3"/>
        <item x="10"/>
        <item x="12"/>
        <item h="1" x="5"/>
        <item x="1"/>
        <item h="1" x="4"/>
        <item x="13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x="4"/>
        <item sd="0" x="5"/>
      </items>
    </pivotField>
    <pivotField axis="axisCol" showAll="0" defaultSubtotal="0">
      <items count="23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</items>
    </pivotField>
  </pivotFields>
  <rowFields count="2">
    <field x="6"/>
    <field x="7"/>
  </rowFields>
  <rowItems count="18">
    <i>
      <x/>
    </i>
    <i r="1">
      <x v="8"/>
    </i>
    <i r="1">
      <x v="12"/>
    </i>
    <i r="1">
      <x v="15"/>
    </i>
    <i>
      <x v="1"/>
    </i>
    <i>
      <x v="2"/>
    </i>
    <i>
      <x v="3"/>
    </i>
    <i>
      <x v="4"/>
    </i>
    <i r="1">
      <x v="11"/>
    </i>
    <i>
      <x v="5"/>
    </i>
    <i r="1">
      <x v="7"/>
    </i>
    <i r="1">
      <x v="10"/>
    </i>
    <i>
      <x v="6"/>
    </i>
    <i r="1">
      <x v="13"/>
    </i>
    <i>
      <x v="7"/>
    </i>
    <i>
      <x v="8"/>
    </i>
    <i>
      <x v="9"/>
    </i>
    <i t="grand">
      <x/>
    </i>
  </rowItems>
  <colFields count="1">
    <field x="10"/>
  </colFields>
  <colItems count="10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2">
    <pageField fld="0" hier="-1"/>
    <pageField fld="2" hier="-1"/>
  </pageFields>
  <dataFields count="1">
    <dataField name="Sum of VALUE" fld="4" baseField="6" baseItem="4" numFmtId="174"/>
  </dataFields>
  <formats count="3">
    <format dxfId="76">
      <pivotArea collapsedLevelsAreSubtotals="1" fieldPosition="0">
        <references count="2">
          <reference field="6" count="1">
            <x v="6"/>
          </reference>
          <reference field="10" count="1" selected="0">
            <x v="5"/>
          </reference>
        </references>
      </pivotArea>
    </format>
    <format dxfId="73">
      <pivotArea outline="0" collapsedLevelsAreSubtotals="1" fieldPosition="0"/>
    </format>
    <format dxfId="69">
      <pivotArea outline="0" fieldPosition="0">
        <references count="1">
          <reference field="4294967294" count="1">
            <x v="0"/>
          </reference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6" count="1">
              <x v="0"/>
            </reference>
            <reference field="10" count="20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6" count="1">
              <x v="1"/>
            </reference>
            <reference field="10" count="20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6" count="1">
              <x v="2"/>
            </reference>
            <reference field="10" count="20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</conditional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F027-2539-4747-A592-59E93D5586DC}">
  <dimension ref="A1:V31"/>
  <sheetViews>
    <sheetView tabSelected="1" zoomScale="85" zoomScaleNormal="85" workbookViewId="0">
      <selection activeCell="N21" sqref="N21"/>
    </sheetView>
  </sheetViews>
  <sheetFormatPr defaultRowHeight="15" x14ac:dyDescent="0.25"/>
  <cols>
    <col min="1" max="1" width="24.85546875" bestFit="1" customWidth="1"/>
    <col min="2" max="5" width="10.85546875" bestFit="1" customWidth="1"/>
    <col min="6" max="6" width="10.5703125" bestFit="1" customWidth="1"/>
    <col min="7" max="10" width="10.85546875" bestFit="1" customWidth="1"/>
    <col min="11" max="11" width="11.85546875" bestFit="1" customWidth="1"/>
    <col min="12" max="12" width="11.5703125" bestFit="1" customWidth="1"/>
    <col min="13" max="16" width="10.85546875" bestFit="1" customWidth="1"/>
    <col min="17" max="17" width="10.5703125" bestFit="1" customWidth="1"/>
    <col min="18" max="21" width="10.85546875" bestFit="1" customWidth="1"/>
    <col min="22" max="22" width="11.85546875" bestFit="1" customWidth="1"/>
    <col min="23" max="23" width="7.7109375" bestFit="1" customWidth="1"/>
    <col min="24" max="24" width="11.28515625" bestFit="1" customWidth="1"/>
  </cols>
  <sheetData>
    <row r="1" spans="1:11" x14ac:dyDescent="0.25">
      <c r="A1" s="3" t="s">
        <v>26</v>
      </c>
      <c r="B1" t="s">
        <v>32</v>
      </c>
    </row>
    <row r="2" spans="1:11" x14ac:dyDescent="0.25">
      <c r="A2" s="3" t="s">
        <v>28</v>
      </c>
      <c r="B2" t="s">
        <v>32</v>
      </c>
    </row>
    <row r="4" spans="1:11" x14ac:dyDescent="0.25">
      <c r="A4" s="3" t="s">
        <v>33</v>
      </c>
      <c r="B4" s="3" t="s">
        <v>45</v>
      </c>
    </row>
    <row r="5" spans="1:11" x14ac:dyDescent="0.25">
      <c r="A5" s="3" t="s">
        <v>44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34</v>
      </c>
    </row>
    <row r="6" spans="1:11" x14ac:dyDescent="0.25">
      <c r="A6" s="4" t="s">
        <v>49</v>
      </c>
      <c r="B6" s="9">
        <v>4958000000</v>
      </c>
      <c r="C6" s="9">
        <v>5509000000</v>
      </c>
      <c r="D6" s="9">
        <v>7370000000</v>
      </c>
      <c r="E6" s="9">
        <v>6547000000</v>
      </c>
      <c r="F6" s="9">
        <v>4442000000</v>
      </c>
      <c r="G6" s="9">
        <v>8154000000</v>
      </c>
      <c r="H6" s="9">
        <v>12158000000</v>
      </c>
      <c r="I6" s="9">
        <v>8289000000</v>
      </c>
      <c r="J6" s="9">
        <v>9749000000</v>
      </c>
      <c r="K6" s="9">
        <v>67176000000</v>
      </c>
    </row>
    <row r="7" spans="1:11" x14ac:dyDescent="0.25">
      <c r="A7" s="10" t="s">
        <v>86</v>
      </c>
      <c r="B7" s="9">
        <v>8000000</v>
      </c>
      <c r="C7" s="9">
        <v>19000000</v>
      </c>
      <c r="D7" s="9">
        <v>22000000</v>
      </c>
      <c r="E7" s="9">
        <v>13000000</v>
      </c>
      <c r="F7" s="9">
        <v>7000000</v>
      </c>
      <c r="G7" s="9">
        <v>8000000</v>
      </c>
      <c r="H7" s="9">
        <v>10000000</v>
      </c>
      <c r="I7" s="9">
        <v>10000000</v>
      </c>
      <c r="J7" s="9">
        <v>12000000</v>
      </c>
      <c r="K7" s="9">
        <v>109000000</v>
      </c>
    </row>
    <row r="8" spans="1:11" x14ac:dyDescent="0.25">
      <c r="A8" s="10" t="s">
        <v>87</v>
      </c>
      <c r="B8" s="9">
        <v>-417000000</v>
      </c>
      <c r="C8" s="9">
        <v>-397000000</v>
      </c>
      <c r="D8" s="9">
        <v>0</v>
      </c>
      <c r="E8" s="9">
        <v>43000000</v>
      </c>
      <c r="F8" s="9">
        <v>0</v>
      </c>
      <c r="G8" s="9">
        <v>161000000</v>
      </c>
      <c r="H8" s="9">
        <v>1073000000</v>
      </c>
      <c r="I8" s="9">
        <v>0</v>
      </c>
      <c r="J8" s="9">
        <v>0</v>
      </c>
      <c r="K8" s="9">
        <v>463000000</v>
      </c>
    </row>
    <row r="9" spans="1:11" x14ac:dyDescent="0.25">
      <c r="A9" s="10" t="s">
        <v>49</v>
      </c>
      <c r="B9" s="9">
        <v>5367000000</v>
      </c>
      <c r="C9" s="9">
        <v>5887000000</v>
      </c>
      <c r="D9" s="9">
        <v>7348000000</v>
      </c>
      <c r="E9" s="9">
        <v>6491000000</v>
      </c>
      <c r="F9" s="9">
        <v>4435000000</v>
      </c>
      <c r="G9" s="9">
        <v>7985000000</v>
      </c>
      <c r="H9" s="9">
        <v>11075000000</v>
      </c>
      <c r="I9" s="9">
        <v>8279000000</v>
      </c>
      <c r="J9" s="9">
        <v>9737000000</v>
      </c>
      <c r="K9" s="9">
        <v>66604000000</v>
      </c>
    </row>
    <row r="10" spans="1:11" x14ac:dyDescent="0.25">
      <c r="A10" s="4" t="s">
        <v>55</v>
      </c>
      <c r="B10" s="9">
        <v>8624000000</v>
      </c>
      <c r="C10" s="9">
        <v>7718000000</v>
      </c>
      <c r="D10" s="9">
        <v>8384000000</v>
      </c>
      <c r="E10" s="9">
        <v>9150000000</v>
      </c>
      <c r="F10" s="9">
        <v>7060000000</v>
      </c>
      <c r="G10" s="9">
        <v>8890000000</v>
      </c>
      <c r="H10" s="9">
        <v>9640000000</v>
      </c>
      <c r="I10" s="9">
        <v>8104000000</v>
      </c>
      <c r="J10" s="9">
        <v>10870000000</v>
      </c>
      <c r="K10" s="9">
        <v>78440000000</v>
      </c>
    </row>
    <row r="11" spans="1:11" x14ac:dyDescent="0.25">
      <c r="A11" s="4" t="s">
        <v>58</v>
      </c>
      <c r="B11" s="9">
        <v>1055000000</v>
      </c>
      <c r="C11" s="9">
        <v>2028000000</v>
      </c>
      <c r="D11" s="9">
        <v>3156000000</v>
      </c>
      <c r="E11" s="9">
        <v>1916000000</v>
      </c>
      <c r="F11" s="9">
        <v>905000000</v>
      </c>
      <c r="G11" s="9">
        <v>3540000000</v>
      </c>
      <c r="H11" s="9">
        <v>6255000000</v>
      </c>
      <c r="I11" s="9">
        <v>4227000000</v>
      </c>
      <c r="J11" s="9">
        <v>4302000000</v>
      </c>
      <c r="K11" s="9">
        <v>27384000000</v>
      </c>
    </row>
    <row r="12" spans="1:11" x14ac:dyDescent="0.25">
      <c r="A12" s="4" t="s">
        <v>60</v>
      </c>
      <c r="B12" s="9">
        <v>1199000000</v>
      </c>
      <c r="C12" s="9">
        <v>1181000000</v>
      </c>
      <c r="D12" s="9">
        <v>1187000000</v>
      </c>
      <c r="E12" s="9">
        <v>1471000000</v>
      </c>
      <c r="F12" s="9">
        <v>732000000</v>
      </c>
      <c r="G12" s="9">
        <v>848000000</v>
      </c>
      <c r="H12" s="9">
        <v>1173000000</v>
      </c>
      <c r="I12" s="9">
        <v>869000000</v>
      </c>
      <c r="J12" s="9">
        <v>1103000000</v>
      </c>
      <c r="K12" s="9">
        <v>9763000000</v>
      </c>
    </row>
    <row r="13" spans="1:11" x14ac:dyDescent="0.25">
      <c r="A13" s="4" t="s">
        <v>66</v>
      </c>
      <c r="B13" s="9">
        <v>-144000000</v>
      </c>
      <c r="C13" s="9">
        <v>847000000</v>
      </c>
      <c r="D13" s="9">
        <v>1969000000</v>
      </c>
      <c r="E13" s="9">
        <v>445000000</v>
      </c>
      <c r="F13" s="9">
        <v>173000000</v>
      </c>
      <c r="G13" s="9">
        <v>2692000000</v>
      </c>
      <c r="H13" s="9">
        <v>5082000000</v>
      </c>
      <c r="I13" s="9">
        <v>3358000000</v>
      </c>
      <c r="J13" s="9">
        <v>3199000000</v>
      </c>
      <c r="K13" s="9">
        <v>17621000000</v>
      </c>
    </row>
    <row r="14" spans="1:11" x14ac:dyDescent="0.25">
      <c r="A14" s="10" t="s">
        <v>66</v>
      </c>
      <c r="B14" s="9">
        <v>-144000000</v>
      </c>
      <c r="C14" s="9">
        <v>847000000</v>
      </c>
      <c r="D14" s="9">
        <v>1969000000</v>
      </c>
      <c r="E14" s="9">
        <v>445000000</v>
      </c>
      <c r="F14" s="9">
        <v>173000000</v>
      </c>
      <c r="G14" s="9">
        <v>2692000000</v>
      </c>
      <c r="H14" s="9">
        <v>5082000000</v>
      </c>
      <c r="I14" s="9">
        <v>3358000000</v>
      </c>
      <c r="J14" s="9">
        <v>3199000000</v>
      </c>
      <c r="K14" s="9">
        <v>17621000000</v>
      </c>
    </row>
    <row r="15" spans="1:11" x14ac:dyDescent="0.25">
      <c r="A15" s="4" t="s">
        <v>70</v>
      </c>
      <c r="B15" s="9">
        <v>1000000</v>
      </c>
      <c r="C15" s="9">
        <v>1000000</v>
      </c>
      <c r="D15" s="9">
        <v>94000000</v>
      </c>
      <c r="E15" s="9">
        <v>13000000</v>
      </c>
      <c r="F15" s="9">
        <v>7000000</v>
      </c>
      <c r="G15" s="9">
        <v>-96000000</v>
      </c>
      <c r="H15" s="9">
        <v>10000000</v>
      </c>
      <c r="I15" s="9">
        <v>10000000</v>
      </c>
      <c r="J15" s="9">
        <v>12000000</v>
      </c>
      <c r="K15" s="9">
        <v>52000000</v>
      </c>
    </row>
    <row r="16" spans="1:11" x14ac:dyDescent="0.25">
      <c r="A16" s="10" t="s">
        <v>95</v>
      </c>
      <c r="B16" s="9">
        <v>417000000</v>
      </c>
      <c r="C16" s="9">
        <v>397000000</v>
      </c>
      <c r="D16" s="9">
        <v>478000000</v>
      </c>
      <c r="E16" s="9">
        <v>400000000</v>
      </c>
      <c r="F16" s="9">
        <v>434000000</v>
      </c>
      <c r="G16" s="9">
        <v>418000000</v>
      </c>
      <c r="H16" s="9">
        <v>322000000</v>
      </c>
      <c r="I16" s="9">
        <v>331000000</v>
      </c>
      <c r="J16" s="9">
        <v>379000000</v>
      </c>
      <c r="K16" s="9">
        <v>3576000000</v>
      </c>
    </row>
    <row r="17" spans="1:22" x14ac:dyDescent="0.25">
      <c r="A17" s="10" t="s">
        <v>96</v>
      </c>
      <c r="B17" s="9">
        <v>-416000000</v>
      </c>
      <c r="C17" s="9">
        <v>-396000000</v>
      </c>
      <c r="D17" s="9">
        <v>-384000000</v>
      </c>
      <c r="E17" s="9">
        <v>-387000000</v>
      </c>
      <c r="F17" s="9">
        <v>-427000000</v>
      </c>
      <c r="G17" s="9">
        <v>-514000000</v>
      </c>
      <c r="H17" s="9">
        <v>-312000000</v>
      </c>
      <c r="I17" s="9">
        <v>-321000000</v>
      </c>
      <c r="J17" s="9">
        <v>-367000000</v>
      </c>
      <c r="K17" s="9">
        <v>-3524000000</v>
      </c>
    </row>
    <row r="18" spans="1:22" x14ac:dyDescent="0.25">
      <c r="A18" s="4" t="s">
        <v>74</v>
      </c>
      <c r="B18" s="9">
        <v>-1682000000</v>
      </c>
      <c r="C18" s="9">
        <v>918000000</v>
      </c>
      <c r="D18" s="9">
        <v>958000000</v>
      </c>
      <c r="E18" s="9">
        <v>-3008000000</v>
      </c>
      <c r="F18" s="9">
        <v>-4840000000</v>
      </c>
      <c r="G18" s="9">
        <v>1891000000</v>
      </c>
      <c r="H18" s="9">
        <v>5734000000</v>
      </c>
      <c r="I18" s="9">
        <v>2883000000</v>
      </c>
      <c r="J18" s="9">
        <v>1535000000</v>
      </c>
      <c r="K18" s="9">
        <v>4389000000</v>
      </c>
    </row>
    <row r="19" spans="1:22" x14ac:dyDescent="0.25">
      <c r="A19" s="10" t="s">
        <v>97</v>
      </c>
      <c r="B19" s="9">
        <v>-1682000000</v>
      </c>
      <c r="C19" s="9">
        <v>918000000</v>
      </c>
      <c r="D19" s="9">
        <v>958000000</v>
      </c>
      <c r="E19" s="9">
        <v>-3008000000</v>
      </c>
      <c r="F19" s="9">
        <v>-4840000000</v>
      </c>
      <c r="G19" s="9">
        <v>1891000000</v>
      </c>
      <c r="H19" s="9">
        <v>5734000000</v>
      </c>
      <c r="I19" s="9">
        <v>2883000000</v>
      </c>
      <c r="J19" s="9">
        <v>1535000000</v>
      </c>
      <c r="K19" s="9">
        <v>4389000000</v>
      </c>
    </row>
    <row r="20" spans="1:22" x14ac:dyDescent="0.25">
      <c r="A20" s="4" t="s">
        <v>76</v>
      </c>
      <c r="B20" s="9">
        <v>-442000000</v>
      </c>
      <c r="C20" s="9">
        <v>-585000000</v>
      </c>
      <c r="D20" s="9">
        <v>672000000</v>
      </c>
      <c r="E20" s="9">
        <v>674000000</v>
      </c>
      <c r="F20" s="9">
        <v>64000000</v>
      </c>
      <c r="G20" s="9">
        <v>578000000</v>
      </c>
      <c r="H20" s="9">
        <v>1652000000</v>
      </c>
      <c r="I20" s="9">
        <v>-324000000</v>
      </c>
      <c r="J20" s="9">
        <v>417000000</v>
      </c>
      <c r="K20" s="9">
        <v>2706000000</v>
      </c>
    </row>
    <row r="21" spans="1:22" x14ac:dyDescent="0.25">
      <c r="A21" s="4" t="s">
        <v>78</v>
      </c>
      <c r="B21" s="9">
        <v>-2645000000</v>
      </c>
      <c r="C21" s="9">
        <v>2807000000</v>
      </c>
      <c r="D21" s="9">
        <v>326000000</v>
      </c>
      <c r="E21" s="9">
        <v>-5863000000</v>
      </c>
      <c r="F21" s="9">
        <v>-9688000000</v>
      </c>
      <c r="G21" s="9">
        <v>2537000000</v>
      </c>
      <c r="H21" s="9">
        <v>7756000000</v>
      </c>
      <c r="I21" s="9">
        <v>6062000000</v>
      </c>
      <c r="J21" s="9">
        <v>1922000000</v>
      </c>
      <c r="K21" s="9">
        <v>3214000000</v>
      </c>
    </row>
    <row r="22" spans="1:22" x14ac:dyDescent="0.25">
      <c r="A22" s="4" t="s">
        <v>81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</row>
    <row r="23" spans="1:22" x14ac:dyDescent="0.25">
      <c r="A23" s="4" t="s">
        <v>34</v>
      </c>
      <c r="B23" s="9">
        <v>10924000000</v>
      </c>
      <c r="C23" s="9">
        <v>20424000000</v>
      </c>
      <c r="D23" s="9">
        <v>24116000000</v>
      </c>
      <c r="E23" s="9">
        <v>11345000000</v>
      </c>
      <c r="F23" s="9">
        <v>-1145000000</v>
      </c>
      <c r="G23" s="9">
        <v>29034000000</v>
      </c>
      <c r="H23" s="9">
        <v>49460000000</v>
      </c>
      <c r="I23" s="9">
        <v>33478000000</v>
      </c>
      <c r="J23" s="9">
        <v>33109000000</v>
      </c>
      <c r="K23" s="9">
        <v>210745000000</v>
      </c>
    </row>
    <row r="27" spans="1:22" x14ac:dyDescent="0.25">
      <c r="A27" s="11" t="s">
        <v>101</v>
      </c>
      <c r="B27" s="12">
        <f>B11/B9</f>
        <v>0.19657164151294951</v>
      </c>
      <c r="C27" s="12">
        <f t="shared" ref="C27:J27" si="0">C11/C9</f>
        <v>0.34448785459487008</v>
      </c>
      <c r="D27" s="12">
        <f t="shared" si="0"/>
        <v>0.4295046271094175</v>
      </c>
      <c r="E27" s="12">
        <f t="shared" si="0"/>
        <v>0.29517793868433218</v>
      </c>
      <c r="F27" s="12">
        <f t="shared" si="0"/>
        <v>0.20405862457722659</v>
      </c>
      <c r="G27" s="12">
        <f t="shared" si="0"/>
        <v>0.443331246086412</v>
      </c>
      <c r="H27" s="12">
        <f t="shared" si="0"/>
        <v>0.56478555304740408</v>
      </c>
      <c r="I27" s="12">
        <f t="shared" si="0"/>
        <v>0.51056890928856147</v>
      </c>
      <c r="J27" s="12">
        <f t="shared" si="0"/>
        <v>0.44181986238061005</v>
      </c>
      <c r="K27" s="12">
        <f t="shared" ref="C27:V27" si="1">K11/K6</f>
        <v>0.4076455877098964</v>
      </c>
      <c r="L27" s="12" t="e">
        <f t="shared" si="1"/>
        <v>#DIV/0!</v>
      </c>
      <c r="M27" s="12" t="e">
        <f t="shared" si="1"/>
        <v>#DIV/0!</v>
      </c>
      <c r="N27" s="12" t="e">
        <f t="shared" si="1"/>
        <v>#DIV/0!</v>
      </c>
      <c r="O27" s="12" t="e">
        <f t="shared" si="1"/>
        <v>#DIV/0!</v>
      </c>
      <c r="P27" s="12" t="e">
        <f t="shared" si="1"/>
        <v>#DIV/0!</v>
      </c>
      <c r="Q27" s="12" t="e">
        <f t="shared" si="1"/>
        <v>#DIV/0!</v>
      </c>
      <c r="R27" s="12" t="e">
        <f t="shared" si="1"/>
        <v>#DIV/0!</v>
      </c>
      <c r="S27" s="12" t="e">
        <f t="shared" si="1"/>
        <v>#DIV/0!</v>
      </c>
      <c r="T27" s="12" t="e">
        <f t="shared" si="1"/>
        <v>#DIV/0!</v>
      </c>
      <c r="U27" s="12" t="e">
        <f t="shared" si="1"/>
        <v>#DIV/0!</v>
      </c>
      <c r="V27" s="12" t="e">
        <f t="shared" si="1"/>
        <v>#DIV/0!</v>
      </c>
    </row>
    <row r="28" spans="1:22" x14ac:dyDescent="0.25">
      <c r="A28" s="11" t="s">
        <v>100</v>
      </c>
      <c r="B28" s="12">
        <f>B21/B9</f>
        <v>-0.4928265325135085</v>
      </c>
      <c r="C28" s="12">
        <f t="shared" ref="C28:J28" si="2">C21/C9</f>
        <v>0.47681331747919142</v>
      </c>
      <c r="D28" s="12">
        <f t="shared" si="2"/>
        <v>4.436581382689167E-2</v>
      </c>
      <c r="E28" s="12">
        <f t="shared" si="2"/>
        <v>-0.90325065475273458</v>
      </c>
      <c r="F28" s="12">
        <f t="shared" si="2"/>
        <v>-2.1844419391206316</v>
      </c>
      <c r="G28" s="12">
        <f t="shared" si="2"/>
        <v>0.31772072636192861</v>
      </c>
      <c r="H28" s="12">
        <f t="shared" si="2"/>
        <v>0.70031602708803609</v>
      </c>
      <c r="I28" s="12">
        <f t="shared" si="2"/>
        <v>0.73221403551153519</v>
      </c>
      <c r="J28" s="12">
        <f t="shared" si="2"/>
        <v>0.1973913936530759</v>
      </c>
      <c r="K28" s="12">
        <f t="shared" ref="C28:V28" si="3">K21/K6</f>
        <v>4.7844468262474696E-2</v>
      </c>
      <c r="L28" s="12" t="e">
        <f t="shared" si="3"/>
        <v>#DIV/0!</v>
      </c>
      <c r="M28" s="12" t="e">
        <f t="shared" si="3"/>
        <v>#DIV/0!</v>
      </c>
      <c r="N28" s="12" t="e">
        <f t="shared" si="3"/>
        <v>#DIV/0!</v>
      </c>
      <c r="O28" s="12" t="e">
        <f t="shared" si="3"/>
        <v>#DIV/0!</v>
      </c>
      <c r="P28" s="12" t="e">
        <f t="shared" si="3"/>
        <v>#DIV/0!</v>
      </c>
      <c r="Q28" s="12" t="e">
        <f t="shared" si="3"/>
        <v>#DIV/0!</v>
      </c>
      <c r="R28" s="12" t="e">
        <f t="shared" si="3"/>
        <v>#DIV/0!</v>
      </c>
      <c r="S28" s="12" t="e">
        <f t="shared" si="3"/>
        <v>#DIV/0!</v>
      </c>
      <c r="T28" s="12" t="e">
        <f t="shared" si="3"/>
        <v>#DIV/0!</v>
      </c>
      <c r="U28" s="12" t="e">
        <f t="shared" si="3"/>
        <v>#DIV/0!</v>
      </c>
      <c r="V28" s="12" t="e">
        <f t="shared" si="3"/>
        <v>#DIV/0!</v>
      </c>
    </row>
    <row r="29" spans="1:22" x14ac:dyDescent="0.25">
      <c r="A29" t="s">
        <v>102</v>
      </c>
      <c r="B29">
        <v>379</v>
      </c>
      <c r="C29">
        <v>381</v>
      </c>
      <c r="D29">
        <v>375</v>
      </c>
      <c r="E29">
        <v>376</v>
      </c>
      <c r="F29">
        <v>377</v>
      </c>
      <c r="G29">
        <v>347</v>
      </c>
      <c r="H29">
        <v>312</v>
      </c>
      <c r="I29">
        <v>304</v>
      </c>
      <c r="J29">
        <v>365</v>
      </c>
      <c r="K29">
        <f>SUM(B29:J29)</f>
        <v>3216</v>
      </c>
    </row>
    <row r="30" spans="1:22" x14ac:dyDescent="0.25">
      <c r="A30" t="s">
        <v>103</v>
      </c>
      <c r="B30" s="13">
        <f>B21/(B29*1000000)</f>
        <v>-6.9788918205804746</v>
      </c>
      <c r="C30" s="13">
        <f t="shared" ref="C30:K30" si="4">C21/(C29*1000000)</f>
        <v>7.3674540682414698</v>
      </c>
      <c r="D30" s="13">
        <f t="shared" si="4"/>
        <v>0.86933333333333329</v>
      </c>
      <c r="E30" s="13">
        <f t="shared" si="4"/>
        <v>-15.593085106382979</v>
      </c>
      <c r="F30" s="13">
        <f t="shared" si="4"/>
        <v>-25.697612732095489</v>
      </c>
      <c r="G30" s="13">
        <f t="shared" si="4"/>
        <v>7.3112391930835736</v>
      </c>
      <c r="H30" s="13">
        <f t="shared" si="4"/>
        <v>24.858974358974358</v>
      </c>
      <c r="I30" s="13">
        <f t="shared" si="4"/>
        <v>19.940789473684209</v>
      </c>
      <c r="J30" s="13">
        <f t="shared" si="4"/>
        <v>5.2657534246575342</v>
      </c>
      <c r="K30" s="13">
        <f t="shared" si="4"/>
        <v>0.99937810945273631</v>
      </c>
    </row>
    <row r="31" spans="1:22" x14ac:dyDescent="0.25">
      <c r="A31" t="s">
        <v>104</v>
      </c>
      <c r="B31" s="13">
        <f>B9/(B29*1000000)</f>
        <v>14.160949868073878</v>
      </c>
      <c r="C31" s="13">
        <f t="shared" ref="C31:J31" si="5">C9/(C29*1000000)</f>
        <v>15.451443569553806</v>
      </c>
      <c r="D31" s="13">
        <f t="shared" si="5"/>
        <v>19.594666666666665</v>
      </c>
      <c r="E31" s="13">
        <f t="shared" si="5"/>
        <v>17.263297872340427</v>
      </c>
      <c r="F31" s="13">
        <f t="shared" si="5"/>
        <v>11.76392572944297</v>
      </c>
      <c r="G31" s="13">
        <f t="shared" si="5"/>
        <v>23.011527377521613</v>
      </c>
      <c r="H31" s="13">
        <f t="shared" si="5"/>
        <v>35.496794871794869</v>
      </c>
      <c r="I31" s="13">
        <f t="shared" si="5"/>
        <v>27.233552631578949</v>
      </c>
      <c r="J31" s="13">
        <f t="shared" si="5"/>
        <v>26.676712328767124</v>
      </c>
      <c r="K31" s="13">
        <f t="shared" ref="K31" si="6">K9/(K29*1000000)</f>
        <v>20.710199004975124</v>
      </c>
    </row>
  </sheetData>
  <conditionalFormatting pivot="1" sqref="B6:J6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B10:J10">
    <cfRule type="colorScale" priority="2">
      <colorScale>
        <cfvo type="min"/>
        <cfvo type="max"/>
        <color rgb="FF63BE7B"/>
        <color rgb="FFFFEF9C"/>
      </colorScale>
    </cfRule>
  </conditionalFormatting>
  <conditionalFormatting pivot="1" sqref="B11:J1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D3ED-3A5F-4CA9-BA7B-6BB4079846DB}">
  <dimension ref="A1:E25"/>
  <sheetViews>
    <sheetView workbookViewId="0">
      <selection activeCell="E26" sqref="E26"/>
    </sheetView>
  </sheetViews>
  <sheetFormatPr defaultRowHeight="15" x14ac:dyDescent="0.25"/>
  <cols>
    <col min="1" max="1" width="25.140625" bestFit="1" customWidth="1"/>
    <col min="2" max="2" width="37.42578125" bestFit="1" customWidth="1"/>
    <col min="3" max="3" width="25.140625" bestFit="1" customWidth="1"/>
    <col min="4" max="4" width="55" bestFit="1" customWidth="1"/>
    <col min="5" max="5" width="19.140625" bestFit="1" customWidth="1"/>
  </cols>
  <sheetData>
    <row r="1" spans="1:5" ht="17.25" thickBot="1" x14ac:dyDescent="0.3">
      <c r="A1" s="5" t="s">
        <v>46</v>
      </c>
      <c r="B1" s="5" t="s">
        <v>47</v>
      </c>
      <c r="C1" s="5" t="s">
        <v>46</v>
      </c>
      <c r="D1" s="5" t="s">
        <v>48</v>
      </c>
      <c r="E1" s="7" t="s">
        <v>85</v>
      </c>
    </row>
    <row r="2" spans="1:5" ht="17.25" thickBot="1" x14ac:dyDescent="0.3">
      <c r="A2" s="5" t="s">
        <v>49</v>
      </c>
      <c r="B2" s="6" t="s">
        <v>3</v>
      </c>
      <c r="C2" s="5" t="s">
        <v>49</v>
      </c>
      <c r="D2" s="6" t="s">
        <v>50</v>
      </c>
      <c r="E2" t="s">
        <v>49</v>
      </c>
    </row>
    <row r="3" spans="1:5" ht="17.25" thickBot="1" x14ac:dyDescent="0.3">
      <c r="A3" s="5" t="s">
        <v>49</v>
      </c>
      <c r="B3" s="6" t="s">
        <v>10</v>
      </c>
      <c r="C3" s="5" t="s">
        <v>49</v>
      </c>
      <c r="D3" s="6" t="s">
        <v>51</v>
      </c>
      <c r="E3" s="6" t="s">
        <v>86</v>
      </c>
    </row>
    <row r="4" spans="1:5" ht="17.25" thickBot="1" x14ac:dyDescent="0.3">
      <c r="A4" s="5" t="s">
        <v>49</v>
      </c>
      <c r="B4" s="6" t="s">
        <v>12</v>
      </c>
      <c r="C4" s="5" t="s">
        <v>49</v>
      </c>
      <c r="D4" s="6" t="s">
        <v>52</v>
      </c>
      <c r="E4" s="6" t="s">
        <v>86</v>
      </c>
    </row>
    <row r="5" spans="1:5" ht="17.25" thickBot="1" x14ac:dyDescent="0.3">
      <c r="A5" s="5" t="s">
        <v>49</v>
      </c>
      <c r="B5" s="6" t="s">
        <v>14</v>
      </c>
      <c r="C5" s="5" t="s">
        <v>49</v>
      </c>
      <c r="D5" s="6" t="s">
        <v>53</v>
      </c>
      <c r="E5" t="s">
        <v>87</v>
      </c>
    </row>
    <row r="6" spans="1:5" ht="17.25" thickBot="1" x14ac:dyDescent="0.3">
      <c r="A6" s="5" t="s">
        <v>49</v>
      </c>
      <c r="B6" s="6" t="s">
        <v>15</v>
      </c>
      <c r="C6" s="5" t="s">
        <v>49</v>
      </c>
      <c r="D6" s="6" t="s">
        <v>54</v>
      </c>
      <c r="E6" t="s">
        <v>87</v>
      </c>
    </row>
    <row r="7" spans="1:5" ht="17.25" thickBot="1" x14ac:dyDescent="0.3">
      <c r="A7" s="5" t="s">
        <v>55</v>
      </c>
      <c r="B7" s="6" t="s">
        <v>4</v>
      </c>
      <c r="C7" s="5" t="s">
        <v>55</v>
      </c>
      <c r="D7" s="6" t="s">
        <v>56</v>
      </c>
      <c r="E7" t="s">
        <v>88</v>
      </c>
    </row>
    <row r="8" spans="1:5" ht="17.25" thickBot="1" x14ac:dyDescent="0.3">
      <c r="A8" s="5" t="s">
        <v>55</v>
      </c>
      <c r="B8" s="6" t="s">
        <v>5</v>
      </c>
      <c r="C8" s="5" t="s">
        <v>55</v>
      </c>
      <c r="D8" s="6" t="s">
        <v>57</v>
      </c>
      <c r="E8" t="s">
        <v>88</v>
      </c>
    </row>
    <row r="9" spans="1:5" ht="17.25" thickBot="1" x14ac:dyDescent="0.3">
      <c r="A9" s="5" t="s">
        <v>58</v>
      </c>
      <c r="B9" s="6" t="s">
        <v>2</v>
      </c>
      <c r="C9" s="5" t="s">
        <v>58</v>
      </c>
      <c r="D9" s="6" t="s">
        <v>59</v>
      </c>
      <c r="E9" t="s">
        <v>58</v>
      </c>
    </row>
    <row r="10" spans="1:5" ht="17.25" thickBot="1" x14ac:dyDescent="0.3">
      <c r="A10" s="5" t="s">
        <v>60</v>
      </c>
      <c r="B10" s="6" t="s">
        <v>7</v>
      </c>
      <c r="C10" s="5" t="s">
        <v>60</v>
      </c>
      <c r="D10" s="6" t="s">
        <v>61</v>
      </c>
      <c r="E10" t="s">
        <v>89</v>
      </c>
    </row>
    <row r="11" spans="1:5" ht="17.25" thickBot="1" x14ac:dyDescent="0.3">
      <c r="A11" s="5" t="s">
        <v>60</v>
      </c>
      <c r="B11" s="6" t="s">
        <v>8</v>
      </c>
      <c r="C11" s="5" t="s">
        <v>60</v>
      </c>
      <c r="D11" s="6" t="s">
        <v>62</v>
      </c>
      <c r="E11" t="s">
        <v>90</v>
      </c>
    </row>
    <row r="12" spans="1:5" ht="17.25" thickBot="1" x14ac:dyDescent="0.3">
      <c r="A12" s="5" t="s">
        <v>60</v>
      </c>
      <c r="B12" s="6" t="s">
        <v>9</v>
      </c>
      <c r="C12" s="5" t="s">
        <v>60</v>
      </c>
      <c r="D12" s="6" t="s">
        <v>63</v>
      </c>
      <c r="E12" t="s">
        <v>91</v>
      </c>
    </row>
    <row r="13" spans="1:5" ht="17.25" thickBot="1" x14ac:dyDescent="0.3">
      <c r="A13" s="5" t="s">
        <v>60</v>
      </c>
      <c r="B13" s="6" t="s">
        <v>16</v>
      </c>
      <c r="C13" s="5" t="s">
        <v>60</v>
      </c>
      <c r="D13" s="6" t="s">
        <v>64</v>
      </c>
      <c r="E13" s="8" t="s">
        <v>92</v>
      </c>
    </row>
    <row r="14" spans="1:5" ht="17.25" thickBot="1" x14ac:dyDescent="0.3">
      <c r="A14" s="5" t="s">
        <v>60</v>
      </c>
      <c r="B14" s="6" t="s">
        <v>17</v>
      </c>
      <c r="C14" s="5" t="s">
        <v>60</v>
      </c>
      <c r="D14" s="6" t="s">
        <v>65</v>
      </c>
      <c r="E14" s="8" t="s">
        <v>92</v>
      </c>
    </row>
    <row r="15" spans="1:5" ht="17.25" thickBot="1" x14ac:dyDescent="0.3">
      <c r="A15" s="5" t="s">
        <v>66</v>
      </c>
      <c r="B15" s="6" t="s">
        <v>6</v>
      </c>
      <c r="C15" s="5" t="s">
        <v>66</v>
      </c>
      <c r="D15" s="6" t="s">
        <v>67</v>
      </c>
      <c r="E15" t="s">
        <v>66</v>
      </c>
    </row>
    <row r="16" spans="1:5" ht="17.25" thickBot="1" x14ac:dyDescent="0.3">
      <c r="A16" s="5" t="s">
        <v>66</v>
      </c>
      <c r="B16" s="6" t="s">
        <v>24</v>
      </c>
      <c r="C16" s="5" t="s">
        <v>66</v>
      </c>
      <c r="D16" s="6" t="s">
        <v>68</v>
      </c>
      <c r="E16" t="s">
        <v>93</v>
      </c>
    </row>
    <row r="17" spans="1:5" ht="17.25" thickBot="1" x14ac:dyDescent="0.3">
      <c r="A17" s="5" t="s">
        <v>66</v>
      </c>
      <c r="B17" s="6" t="s">
        <v>23</v>
      </c>
      <c r="C17" s="5" t="s">
        <v>66</v>
      </c>
      <c r="D17" s="6" t="s">
        <v>69</v>
      </c>
      <c r="E17" t="s">
        <v>94</v>
      </c>
    </row>
    <row r="18" spans="1:5" ht="17.25" thickBot="1" x14ac:dyDescent="0.3">
      <c r="A18" s="5" t="s">
        <v>70</v>
      </c>
      <c r="B18" s="6" t="s">
        <v>13</v>
      </c>
      <c r="C18" s="5" t="s">
        <v>70</v>
      </c>
      <c r="D18" s="6" t="s">
        <v>71</v>
      </c>
      <c r="E18" t="s">
        <v>95</v>
      </c>
    </row>
    <row r="19" spans="1:5" ht="17.25" thickBot="1" x14ac:dyDescent="0.3">
      <c r="A19" s="5" t="s">
        <v>70</v>
      </c>
      <c r="B19" s="6" t="s">
        <v>20</v>
      </c>
      <c r="C19" s="5" t="s">
        <v>70</v>
      </c>
      <c r="D19" s="6" t="s">
        <v>72</v>
      </c>
      <c r="E19" t="s">
        <v>95</v>
      </c>
    </row>
    <row r="20" spans="1:5" ht="17.25" thickBot="1" x14ac:dyDescent="0.3">
      <c r="A20" s="5" t="s">
        <v>70</v>
      </c>
      <c r="B20" s="6" t="s">
        <v>11</v>
      </c>
      <c r="C20" s="5" t="s">
        <v>70</v>
      </c>
      <c r="D20" s="6" t="s">
        <v>73</v>
      </c>
      <c r="E20" t="s">
        <v>96</v>
      </c>
    </row>
    <row r="21" spans="1:5" ht="17.25" thickBot="1" x14ac:dyDescent="0.3">
      <c r="A21" s="5" t="s">
        <v>74</v>
      </c>
      <c r="B21" s="6" t="s">
        <v>18</v>
      </c>
      <c r="C21" s="5" t="s">
        <v>74</v>
      </c>
      <c r="D21" s="6" t="s">
        <v>75</v>
      </c>
      <c r="E21" t="s">
        <v>97</v>
      </c>
    </row>
    <row r="22" spans="1:5" ht="17.25" thickBot="1" x14ac:dyDescent="0.3">
      <c r="A22" s="5" t="s">
        <v>76</v>
      </c>
      <c r="B22" s="6" t="s">
        <v>19</v>
      </c>
      <c r="C22" s="5" t="s">
        <v>76</v>
      </c>
      <c r="D22" s="6" t="s">
        <v>77</v>
      </c>
      <c r="E22" t="s">
        <v>98</v>
      </c>
    </row>
    <row r="23" spans="1:5" ht="17.25" thickBot="1" x14ac:dyDescent="0.3">
      <c r="A23" s="5" t="s">
        <v>78</v>
      </c>
      <c r="B23" s="6" t="s">
        <v>25</v>
      </c>
      <c r="C23" s="5" t="s">
        <v>78</v>
      </c>
      <c r="D23" s="6" t="s">
        <v>79</v>
      </c>
      <c r="E23" t="s">
        <v>78</v>
      </c>
    </row>
    <row r="24" spans="1:5" ht="17.25" thickBot="1" x14ac:dyDescent="0.3">
      <c r="A24" s="5" t="s">
        <v>78</v>
      </c>
      <c r="B24" s="6" t="s">
        <v>21</v>
      </c>
      <c r="C24" s="5" t="s">
        <v>78</v>
      </c>
      <c r="D24" s="6" t="s">
        <v>80</v>
      </c>
      <c r="E24" t="s">
        <v>78</v>
      </c>
    </row>
    <row r="25" spans="1:5" ht="17.25" thickBot="1" x14ac:dyDescent="0.3">
      <c r="A25" s="5" t="s">
        <v>81</v>
      </c>
      <c r="B25" s="6" t="s">
        <v>22</v>
      </c>
      <c r="C25" s="5" t="s">
        <v>81</v>
      </c>
      <c r="D25" s="6" t="s">
        <v>82</v>
      </c>
      <c r="E25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3F2F-ACF6-4B23-821B-71B5D1D2BE2C}">
  <dimension ref="A1:H481"/>
  <sheetViews>
    <sheetView topLeftCell="A448" workbookViewId="0">
      <selection activeCell="H2" sqref="H2:H481"/>
    </sheetView>
  </sheetViews>
  <sheetFormatPr defaultRowHeight="15" x14ac:dyDescent="0.25"/>
  <cols>
    <col min="1" max="1" width="4.42578125" bestFit="1" customWidth="1"/>
    <col min="2" max="2" width="10.42578125" bestFit="1" customWidth="1"/>
    <col min="3" max="3" width="4.5703125" bestFit="1" customWidth="1"/>
    <col min="4" max="4" width="35.140625" bestFit="1" customWidth="1"/>
    <col min="5" max="5" width="12.7109375" bestFit="1" customWidth="1"/>
    <col min="6" max="6" width="14.5703125" bestFit="1" customWidth="1"/>
    <col min="7" max="7" width="12" bestFit="1" customWidth="1"/>
    <col min="8" max="8" width="51.140625" bestFit="1" customWidth="1"/>
  </cols>
  <sheetData>
    <row r="1" spans="1:8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83</v>
      </c>
      <c r="H1" t="s">
        <v>84</v>
      </c>
    </row>
    <row r="2" spans="1:8" x14ac:dyDescent="0.25">
      <c r="A2" t="s">
        <v>0</v>
      </c>
      <c r="B2" s="1">
        <v>45657</v>
      </c>
      <c r="C2" t="s">
        <v>1</v>
      </c>
      <c r="D2" t="s">
        <v>2</v>
      </c>
      <c r="E2">
        <v>4302000000</v>
      </c>
      <c r="F2" s="2">
        <v>45986.11859953704</v>
      </c>
      <c r="G2" t="str">
        <f>VLOOKUP(D2,MAP!B:C,2,0)</f>
        <v>Gross Profit</v>
      </c>
      <c r="H2" t="str">
        <f>VLOOKUP(D2,MAP!B:G,4,0)</f>
        <v>Gross Profit</v>
      </c>
    </row>
    <row r="3" spans="1:8" x14ac:dyDescent="0.25">
      <c r="A3" t="s">
        <v>0</v>
      </c>
      <c r="B3" s="1">
        <v>45291</v>
      </c>
      <c r="C3" t="s">
        <v>1</v>
      </c>
      <c r="D3" t="s">
        <v>2</v>
      </c>
      <c r="E3">
        <v>4227000000</v>
      </c>
      <c r="F3" s="2">
        <v>45986.11859953704</v>
      </c>
      <c r="G3" t="str">
        <f>VLOOKUP(D3,MAP!B:C,2,0)</f>
        <v>Gross Profit</v>
      </c>
      <c r="H3" t="str">
        <f>VLOOKUP(D3,MAP!B:G,4,0)</f>
        <v>Gross Profit</v>
      </c>
    </row>
    <row r="4" spans="1:8" x14ac:dyDescent="0.25">
      <c r="A4" t="s">
        <v>0</v>
      </c>
      <c r="B4" s="1">
        <v>44926</v>
      </c>
      <c r="C4" t="s">
        <v>1</v>
      </c>
      <c r="D4" t="s">
        <v>2</v>
      </c>
      <c r="E4">
        <v>6255000000</v>
      </c>
      <c r="F4" s="2">
        <v>45986.11859953704</v>
      </c>
      <c r="G4" t="str">
        <f>VLOOKUP(D4,MAP!B:C,2,0)</f>
        <v>Gross Profit</v>
      </c>
      <c r="H4" t="str">
        <f>VLOOKUP(D4,MAP!B:G,4,0)</f>
        <v>Gross Profit</v>
      </c>
    </row>
    <row r="5" spans="1:8" x14ac:dyDescent="0.25">
      <c r="A5" t="s">
        <v>0</v>
      </c>
      <c r="B5" s="1">
        <v>44561</v>
      </c>
      <c r="C5" t="s">
        <v>1</v>
      </c>
      <c r="D5" t="s">
        <v>2</v>
      </c>
      <c r="E5">
        <v>3540000000</v>
      </c>
      <c r="F5" s="2">
        <v>45986.11859953704</v>
      </c>
      <c r="G5" t="str">
        <f>VLOOKUP(D5,MAP!B:C,2,0)</f>
        <v>Gross Profit</v>
      </c>
      <c r="H5" t="str">
        <f>VLOOKUP(D5,MAP!B:G,4,0)</f>
        <v>Gross Profit</v>
      </c>
    </row>
    <row r="6" spans="1:8" x14ac:dyDescent="0.25">
      <c r="A6" t="s">
        <v>0</v>
      </c>
      <c r="B6" s="1">
        <v>44196</v>
      </c>
      <c r="C6" t="s">
        <v>1</v>
      </c>
      <c r="D6" t="s">
        <v>2</v>
      </c>
      <c r="E6">
        <v>905000000</v>
      </c>
      <c r="F6" s="2">
        <v>45986.11859953704</v>
      </c>
      <c r="G6" t="str">
        <f>VLOOKUP(D6,MAP!B:C,2,0)</f>
        <v>Gross Profit</v>
      </c>
      <c r="H6" t="str">
        <f>VLOOKUP(D6,MAP!B:G,4,0)</f>
        <v>Gross Profit</v>
      </c>
    </row>
    <row r="7" spans="1:8" x14ac:dyDescent="0.25">
      <c r="A7" t="s">
        <v>0</v>
      </c>
      <c r="B7" s="1">
        <v>43830</v>
      </c>
      <c r="C7" t="s">
        <v>1</v>
      </c>
      <c r="D7" t="s">
        <v>2</v>
      </c>
      <c r="E7">
        <v>1916000000</v>
      </c>
      <c r="F7" s="2">
        <v>45986.11859953704</v>
      </c>
      <c r="G7" t="str">
        <f>VLOOKUP(D7,MAP!B:C,2,0)</f>
        <v>Gross Profit</v>
      </c>
      <c r="H7" t="str">
        <f>VLOOKUP(D7,MAP!B:G,4,0)</f>
        <v>Gross Profit</v>
      </c>
    </row>
    <row r="8" spans="1:8" x14ac:dyDescent="0.25">
      <c r="A8" t="s">
        <v>0</v>
      </c>
      <c r="B8" s="1">
        <v>43465</v>
      </c>
      <c r="C8" t="s">
        <v>1</v>
      </c>
      <c r="D8" t="s">
        <v>2</v>
      </c>
      <c r="E8">
        <v>3156000000</v>
      </c>
      <c r="F8" s="2">
        <v>45986.11859953704</v>
      </c>
      <c r="G8" t="str">
        <f>VLOOKUP(D8,MAP!B:C,2,0)</f>
        <v>Gross Profit</v>
      </c>
      <c r="H8" t="str">
        <f>VLOOKUP(D8,MAP!B:G,4,0)</f>
        <v>Gross Profit</v>
      </c>
    </row>
    <row r="9" spans="1:8" x14ac:dyDescent="0.25">
      <c r="A9" t="s">
        <v>0</v>
      </c>
      <c r="B9" s="1">
        <v>43100</v>
      </c>
      <c r="C9" t="s">
        <v>1</v>
      </c>
      <c r="D9" t="s">
        <v>2</v>
      </c>
      <c r="E9">
        <v>2028000000</v>
      </c>
      <c r="F9" s="2">
        <v>45986.11859953704</v>
      </c>
      <c r="G9" t="str">
        <f>VLOOKUP(D9,MAP!B:C,2,0)</f>
        <v>Gross Profit</v>
      </c>
      <c r="H9" t="str">
        <f>VLOOKUP(D9,MAP!B:G,4,0)</f>
        <v>Gross Profit</v>
      </c>
    </row>
    <row r="10" spans="1:8" x14ac:dyDescent="0.25">
      <c r="A10" t="s">
        <v>0</v>
      </c>
      <c r="B10" s="1">
        <v>42735</v>
      </c>
      <c r="C10" t="s">
        <v>1</v>
      </c>
      <c r="D10" t="s">
        <v>2</v>
      </c>
      <c r="E10">
        <v>1055000000</v>
      </c>
      <c r="F10" s="2">
        <v>45986.11859953704</v>
      </c>
      <c r="G10" t="str">
        <f>VLOOKUP(D10,MAP!B:C,2,0)</f>
        <v>Gross Profit</v>
      </c>
      <c r="H10" t="str">
        <f>VLOOKUP(D10,MAP!B:G,4,0)</f>
        <v>Gross Profit</v>
      </c>
    </row>
    <row r="11" spans="1:8" x14ac:dyDescent="0.25">
      <c r="A11" t="s">
        <v>0</v>
      </c>
      <c r="B11" s="1">
        <v>42369</v>
      </c>
      <c r="C11" t="s">
        <v>1</v>
      </c>
      <c r="D11" t="s">
        <v>2</v>
      </c>
      <c r="E11">
        <v>-25054000000</v>
      </c>
      <c r="F11" s="2">
        <v>45986.11859953704</v>
      </c>
      <c r="G11" t="str">
        <f>VLOOKUP(D11,MAP!B:C,2,0)</f>
        <v>Gross Profit</v>
      </c>
      <c r="H11" t="str">
        <f>VLOOKUP(D11,MAP!B:G,4,0)</f>
        <v>Gross Profit</v>
      </c>
    </row>
    <row r="12" spans="1:8" x14ac:dyDescent="0.25">
      <c r="A12" t="s">
        <v>0</v>
      </c>
      <c r="B12" s="1">
        <v>42004</v>
      </c>
      <c r="C12" t="s">
        <v>1</v>
      </c>
      <c r="D12" t="s">
        <v>2</v>
      </c>
      <c r="E12">
        <v>839000000</v>
      </c>
      <c r="F12" s="2">
        <v>45986.11859953704</v>
      </c>
      <c r="G12" t="str">
        <f>VLOOKUP(D12,MAP!B:C,2,0)</f>
        <v>Gross Profit</v>
      </c>
      <c r="H12" t="str">
        <f>VLOOKUP(D12,MAP!B:G,4,0)</f>
        <v>Gross Profit</v>
      </c>
    </row>
    <row r="13" spans="1:8" x14ac:dyDescent="0.25">
      <c r="A13" t="s">
        <v>0</v>
      </c>
      <c r="B13" s="1">
        <v>41639</v>
      </c>
      <c r="C13" t="s">
        <v>1</v>
      </c>
      <c r="D13" t="s">
        <v>2</v>
      </c>
      <c r="E13">
        <v>6349000000</v>
      </c>
      <c r="F13" s="2">
        <v>45986.11859953704</v>
      </c>
      <c r="G13" t="str">
        <f>VLOOKUP(D13,MAP!B:C,2,0)</f>
        <v>Gross Profit</v>
      </c>
      <c r="H13" t="str">
        <f>VLOOKUP(D13,MAP!B:G,4,0)</f>
        <v>Gross Profit</v>
      </c>
    </row>
    <row r="14" spans="1:8" x14ac:dyDescent="0.25">
      <c r="A14" t="s">
        <v>0</v>
      </c>
      <c r="B14" s="1">
        <v>41274</v>
      </c>
      <c r="C14" t="s">
        <v>1</v>
      </c>
      <c r="D14" t="s">
        <v>2</v>
      </c>
      <c r="E14">
        <v>6567000000</v>
      </c>
      <c r="F14" s="2">
        <v>45986.11859953704</v>
      </c>
      <c r="G14" t="str">
        <f>VLOOKUP(D14,MAP!B:C,2,0)</f>
        <v>Gross Profit</v>
      </c>
      <c r="H14" t="str">
        <f>VLOOKUP(D14,MAP!B:G,4,0)</f>
        <v>Gross Profit</v>
      </c>
    </row>
    <row r="15" spans="1:8" x14ac:dyDescent="0.25">
      <c r="A15" t="s">
        <v>0</v>
      </c>
      <c r="B15" s="1">
        <v>40908</v>
      </c>
      <c r="C15" t="s">
        <v>1</v>
      </c>
      <c r="D15" t="s">
        <v>2</v>
      </c>
      <c r="E15">
        <v>9705000000</v>
      </c>
      <c r="F15" s="2">
        <v>45986.11859953704</v>
      </c>
      <c r="G15" t="str">
        <f>VLOOKUP(D15,MAP!B:C,2,0)</f>
        <v>Gross Profit</v>
      </c>
      <c r="H15" t="str">
        <f>VLOOKUP(D15,MAP!B:G,4,0)</f>
        <v>Gross Profit</v>
      </c>
    </row>
    <row r="16" spans="1:8" x14ac:dyDescent="0.25">
      <c r="A16" t="s">
        <v>0</v>
      </c>
      <c r="B16" s="1">
        <v>40543</v>
      </c>
      <c r="C16" t="s">
        <v>1</v>
      </c>
      <c r="D16" t="s">
        <v>2</v>
      </c>
      <c r="E16">
        <v>6890000000</v>
      </c>
      <c r="F16" s="2">
        <v>45986.11859953704</v>
      </c>
      <c r="G16" t="str">
        <f>VLOOKUP(D16,MAP!B:C,2,0)</f>
        <v>Gross Profit</v>
      </c>
      <c r="H16" t="str">
        <f>VLOOKUP(D16,MAP!B:G,4,0)</f>
        <v>Gross Profit</v>
      </c>
    </row>
    <row r="17" spans="1:8" x14ac:dyDescent="0.25">
      <c r="A17" t="s">
        <v>0</v>
      </c>
      <c r="B17" s="1">
        <v>40178</v>
      </c>
      <c r="C17" t="s">
        <v>1</v>
      </c>
      <c r="D17" t="s">
        <v>2</v>
      </c>
      <c r="E17">
        <v>8471826000</v>
      </c>
      <c r="F17" s="2">
        <v>45986.11859953704</v>
      </c>
      <c r="G17" t="str">
        <f>VLOOKUP(D17,MAP!B:C,2,0)</f>
        <v>Gross Profit</v>
      </c>
      <c r="H17" t="str">
        <f>VLOOKUP(D17,MAP!B:G,4,0)</f>
        <v>Gross Profit</v>
      </c>
    </row>
    <row r="18" spans="1:8" x14ac:dyDescent="0.25">
      <c r="A18" t="s">
        <v>0</v>
      </c>
      <c r="B18" s="1">
        <v>39813</v>
      </c>
      <c r="C18" t="s">
        <v>1</v>
      </c>
      <c r="D18" t="s">
        <v>2</v>
      </c>
      <c r="E18">
        <v>10323634000</v>
      </c>
      <c r="F18" s="2">
        <v>45986.11859953704</v>
      </c>
      <c r="G18" t="str">
        <f>VLOOKUP(D18,MAP!B:C,2,0)</f>
        <v>Gross Profit</v>
      </c>
      <c r="H18" t="str">
        <f>VLOOKUP(D18,MAP!B:G,4,0)</f>
        <v>Gross Profit</v>
      </c>
    </row>
    <row r="19" spans="1:8" x14ac:dyDescent="0.25">
      <c r="A19" t="s">
        <v>0</v>
      </c>
      <c r="B19" s="1">
        <v>39447</v>
      </c>
      <c r="C19" t="s">
        <v>1</v>
      </c>
      <c r="D19" t="s">
        <v>2</v>
      </c>
      <c r="E19">
        <v>8137949000</v>
      </c>
      <c r="F19" s="2">
        <v>45986.11859953704</v>
      </c>
      <c r="G19" t="str">
        <f>VLOOKUP(D19,MAP!B:C,2,0)</f>
        <v>Gross Profit</v>
      </c>
      <c r="H19" t="str">
        <f>VLOOKUP(D19,MAP!B:G,4,0)</f>
        <v>Gross Profit</v>
      </c>
    </row>
    <row r="20" spans="1:8" x14ac:dyDescent="0.25">
      <c r="A20" t="s">
        <v>0</v>
      </c>
      <c r="B20" s="1">
        <v>39082</v>
      </c>
      <c r="C20" t="s">
        <v>1</v>
      </c>
      <c r="D20" t="s">
        <v>2</v>
      </c>
      <c r="E20">
        <v>6607557000</v>
      </c>
      <c r="F20" s="2">
        <v>45986.11859953704</v>
      </c>
      <c r="G20" t="str">
        <f>VLOOKUP(D20,MAP!B:C,2,0)</f>
        <v>Gross Profit</v>
      </c>
      <c r="H20" t="str">
        <f>VLOOKUP(D20,MAP!B:G,4,0)</f>
        <v>Gross Profit</v>
      </c>
    </row>
    <row r="21" spans="1:8" x14ac:dyDescent="0.25">
      <c r="A21" t="s">
        <v>0</v>
      </c>
      <c r="B21" s="1">
        <v>38717</v>
      </c>
      <c r="C21" t="s">
        <v>1</v>
      </c>
      <c r="D21" t="s">
        <v>2</v>
      </c>
      <c r="E21">
        <v>6443509000</v>
      </c>
      <c r="F21" s="2">
        <v>45986.11859953704</v>
      </c>
      <c r="G21" t="str">
        <f>VLOOKUP(D21,MAP!B:C,2,0)</f>
        <v>Gross Profit</v>
      </c>
      <c r="H21" t="str">
        <f>VLOOKUP(D21,MAP!B:G,4,0)</f>
        <v>Gross Profit</v>
      </c>
    </row>
    <row r="22" spans="1:8" x14ac:dyDescent="0.25">
      <c r="A22" t="s">
        <v>0</v>
      </c>
      <c r="B22" s="1">
        <v>45657</v>
      </c>
      <c r="C22" t="s">
        <v>1</v>
      </c>
      <c r="D22" t="s">
        <v>3</v>
      </c>
      <c r="E22">
        <v>9737000000</v>
      </c>
      <c r="F22" s="2">
        <v>45986.11859953704</v>
      </c>
      <c r="G22" t="str">
        <f>VLOOKUP(D22,MAP!B:C,2,0)</f>
        <v>Revenue</v>
      </c>
      <c r="H22" t="str">
        <f>VLOOKUP(D22,MAP!B:G,4,0)</f>
        <v>Revenue</v>
      </c>
    </row>
    <row r="23" spans="1:8" x14ac:dyDescent="0.25">
      <c r="A23" t="s">
        <v>0</v>
      </c>
      <c r="B23" s="1">
        <v>45291</v>
      </c>
      <c r="C23" t="s">
        <v>1</v>
      </c>
      <c r="D23" t="s">
        <v>3</v>
      </c>
      <c r="E23">
        <v>8279000000</v>
      </c>
      <c r="F23" s="2">
        <v>45986.11859953704</v>
      </c>
      <c r="G23" t="str">
        <f>VLOOKUP(D23,MAP!B:C,2,0)</f>
        <v>Revenue</v>
      </c>
      <c r="H23" t="str">
        <f>VLOOKUP(D23,MAP!B:G,4,0)</f>
        <v>Revenue</v>
      </c>
    </row>
    <row r="24" spans="1:8" x14ac:dyDescent="0.25">
      <c r="A24" t="s">
        <v>0</v>
      </c>
      <c r="B24" s="1">
        <v>44926</v>
      </c>
      <c r="C24" t="s">
        <v>1</v>
      </c>
      <c r="D24" t="s">
        <v>3</v>
      </c>
      <c r="E24">
        <v>11075000000</v>
      </c>
      <c r="F24" s="2">
        <v>45986.11859953704</v>
      </c>
      <c r="G24" t="str">
        <f>VLOOKUP(D24,MAP!B:C,2,0)</f>
        <v>Revenue</v>
      </c>
      <c r="H24" t="str">
        <f>VLOOKUP(D24,MAP!B:G,4,0)</f>
        <v>Revenue</v>
      </c>
    </row>
    <row r="25" spans="1:8" x14ac:dyDescent="0.25">
      <c r="A25" t="s">
        <v>0</v>
      </c>
      <c r="B25" s="1">
        <v>44561</v>
      </c>
      <c r="C25" t="s">
        <v>1</v>
      </c>
      <c r="D25" t="s">
        <v>3</v>
      </c>
      <c r="E25">
        <v>7985000000</v>
      </c>
      <c r="F25" s="2">
        <v>45986.11859953704</v>
      </c>
      <c r="G25" t="str">
        <f>VLOOKUP(D25,MAP!B:C,2,0)</f>
        <v>Revenue</v>
      </c>
      <c r="H25" t="str">
        <f>VLOOKUP(D25,MAP!B:G,4,0)</f>
        <v>Revenue</v>
      </c>
    </row>
    <row r="26" spans="1:8" x14ac:dyDescent="0.25">
      <c r="A26" t="s">
        <v>0</v>
      </c>
      <c r="B26" s="1">
        <v>44196</v>
      </c>
      <c r="C26" t="s">
        <v>1</v>
      </c>
      <c r="D26" t="s">
        <v>3</v>
      </c>
      <c r="E26">
        <v>4435000000</v>
      </c>
      <c r="F26" s="2">
        <v>45986.11859953704</v>
      </c>
      <c r="G26" t="str">
        <f>VLOOKUP(D26,MAP!B:C,2,0)</f>
        <v>Revenue</v>
      </c>
      <c r="H26" t="str">
        <f>VLOOKUP(D26,MAP!B:G,4,0)</f>
        <v>Revenue</v>
      </c>
    </row>
    <row r="27" spans="1:8" x14ac:dyDescent="0.25">
      <c r="A27" t="s">
        <v>0</v>
      </c>
      <c r="B27" s="1">
        <v>43830</v>
      </c>
      <c r="C27" t="s">
        <v>1</v>
      </c>
      <c r="D27" t="s">
        <v>3</v>
      </c>
      <c r="E27">
        <v>6491000000</v>
      </c>
      <c r="F27" s="2">
        <v>45986.11859953704</v>
      </c>
      <c r="G27" t="str">
        <f>VLOOKUP(D27,MAP!B:C,2,0)</f>
        <v>Revenue</v>
      </c>
      <c r="H27" t="str">
        <f>VLOOKUP(D27,MAP!B:G,4,0)</f>
        <v>Revenue</v>
      </c>
    </row>
    <row r="28" spans="1:8" x14ac:dyDescent="0.25">
      <c r="A28" t="s">
        <v>0</v>
      </c>
      <c r="B28" s="1">
        <v>43465</v>
      </c>
      <c r="C28" t="s">
        <v>1</v>
      </c>
      <c r="D28" t="s">
        <v>3</v>
      </c>
      <c r="E28">
        <v>7348000000</v>
      </c>
      <c r="F28" s="2">
        <v>45986.11859953704</v>
      </c>
      <c r="G28" t="str">
        <f>VLOOKUP(D28,MAP!B:C,2,0)</f>
        <v>Revenue</v>
      </c>
      <c r="H28" t="str">
        <f>VLOOKUP(D28,MAP!B:G,4,0)</f>
        <v>Revenue</v>
      </c>
    </row>
    <row r="29" spans="1:8" x14ac:dyDescent="0.25">
      <c r="A29" t="s">
        <v>0</v>
      </c>
      <c r="B29" s="1">
        <v>43100</v>
      </c>
      <c r="C29" t="s">
        <v>1</v>
      </c>
      <c r="D29" t="s">
        <v>3</v>
      </c>
      <c r="E29">
        <v>5887000000</v>
      </c>
      <c r="F29" s="2">
        <v>45986.11859953704</v>
      </c>
      <c r="G29" t="str">
        <f>VLOOKUP(D29,MAP!B:C,2,0)</f>
        <v>Revenue</v>
      </c>
      <c r="H29" t="str">
        <f>VLOOKUP(D29,MAP!B:G,4,0)</f>
        <v>Revenue</v>
      </c>
    </row>
    <row r="30" spans="1:8" x14ac:dyDescent="0.25">
      <c r="A30" t="s">
        <v>0</v>
      </c>
      <c r="B30" s="1">
        <v>42735</v>
      </c>
      <c r="C30" t="s">
        <v>1</v>
      </c>
      <c r="D30" t="s">
        <v>3</v>
      </c>
      <c r="E30">
        <v>5367000000</v>
      </c>
      <c r="F30" s="2">
        <v>45986.11859953704</v>
      </c>
      <c r="G30" t="str">
        <f>VLOOKUP(D30,MAP!B:C,2,0)</f>
        <v>Revenue</v>
      </c>
      <c r="H30" t="str">
        <f>VLOOKUP(D30,MAP!B:G,4,0)</f>
        <v>Revenue</v>
      </c>
    </row>
    <row r="31" spans="1:8" x14ac:dyDescent="0.25">
      <c r="A31" t="s">
        <v>0</v>
      </c>
      <c r="B31" s="1">
        <v>42369</v>
      </c>
      <c r="C31" t="s">
        <v>1</v>
      </c>
      <c r="D31" t="s">
        <v>3</v>
      </c>
      <c r="E31">
        <v>6383000000</v>
      </c>
      <c r="F31" s="2">
        <v>45986.11859953704</v>
      </c>
      <c r="G31" t="str">
        <f>VLOOKUP(D31,MAP!B:C,2,0)</f>
        <v>Revenue</v>
      </c>
      <c r="H31" t="str">
        <f>VLOOKUP(D31,MAP!B:G,4,0)</f>
        <v>Revenue</v>
      </c>
    </row>
    <row r="32" spans="1:8" x14ac:dyDescent="0.25">
      <c r="A32" t="s">
        <v>0</v>
      </c>
      <c r="B32" s="1">
        <v>42004</v>
      </c>
      <c r="C32" t="s">
        <v>1</v>
      </c>
      <c r="D32" t="s">
        <v>3</v>
      </c>
      <c r="E32">
        <v>13749000000</v>
      </c>
      <c r="F32" s="2">
        <v>45986.11859953704</v>
      </c>
      <c r="G32" t="str">
        <f>VLOOKUP(D32,MAP!B:C,2,0)</f>
        <v>Revenue</v>
      </c>
      <c r="H32" t="str">
        <f>VLOOKUP(D32,MAP!B:G,4,0)</f>
        <v>Revenue</v>
      </c>
    </row>
    <row r="33" spans="1:8" x14ac:dyDescent="0.25">
      <c r="A33" t="s">
        <v>0</v>
      </c>
      <c r="B33" s="1">
        <v>41639</v>
      </c>
      <c r="C33" t="s">
        <v>1</v>
      </c>
      <c r="D33" t="s">
        <v>3</v>
      </c>
      <c r="E33">
        <v>16402000000</v>
      </c>
      <c r="F33" s="2">
        <v>45986.11859953704</v>
      </c>
      <c r="G33" t="str">
        <f>VLOOKUP(D33,MAP!B:C,2,0)</f>
        <v>Revenue</v>
      </c>
      <c r="H33" t="str">
        <f>VLOOKUP(D33,MAP!B:G,4,0)</f>
        <v>Revenue</v>
      </c>
    </row>
    <row r="34" spans="1:8" x14ac:dyDescent="0.25">
      <c r="A34" t="s">
        <v>0</v>
      </c>
      <c r="B34" s="1">
        <v>41274</v>
      </c>
      <c r="C34" t="s">
        <v>1</v>
      </c>
      <c r="D34" t="s">
        <v>3</v>
      </c>
      <c r="E34">
        <v>16947000000</v>
      </c>
      <c r="F34" s="2">
        <v>45986.11859953704</v>
      </c>
      <c r="G34" t="str">
        <f>VLOOKUP(D34,MAP!B:C,2,0)</f>
        <v>Revenue</v>
      </c>
      <c r="H34" t="str">
        <f>VLOOKUP(D34,MAP!B:G,4,0)</f>
        <v>Revenue</v>
      </c>
    </row>
    <row r="35" spans="1:8" x14ac:dyDescent="0.25">
      <c r="A35" t="s">
        <v>0</v>
      </c>
      <c r="B35" s="1">
        <v>40908</v>
      </c>
      <c r="C35" t="s">
        <v>1</v>
      </c>
      <c r="D35" t="s">
        <v>3</v>
      </c>
      <c r="E35">
        <v>16810000000</v>
      </c>
      <c r="F35" s="2">
        <v>45986.11859953704</v>
      </c>
      <c r="G35" t="str">
        <f>VLOOKUP(D35,MAP!B:C,2,0)</f>
        <v>Revenue</v>
      </c>
      <c r="H35" t="str">
        <f>VLOOKUP(D35,MAP!B:G,4,0)</f>
        <v>Revenue</v>
      </c>
    </row>
    <row r="36" spans="1:8" x14ac:dyDescent="0.25">
      <c r="A36" t="s">
        <v>0</v>
      </c>
      <c r="B36" s="1">
        <v>40543</v>
      </c>
      <c r="C36" t="s">
        <v>1</v>
      </c>
      <c r="D36" t="s">
        <v>3</v>
      </c>
      <c r="E36">
        <v>12183000000</v>
      </c>
      <c r="F36" s="2">
        <v>45986.11859953704</v>
      </c>
      <c r="G36" t="str">
        <f>VLOOKUP(D36,MAP!B:C,2,0)</f>
        <v>Revenue</v>
      </c>
      <c r="H36" t="str">
        <f>VLOOKUP(D36,MAP!B:G,4,0)</f>
        <v>Revenue</v>
      </c>
    </row>
    <row r="37" spans="1:8" x14ac:dyDescent="0.25">
      <c r="A37" t="s">
        <v>0</v>
      </c>
      <c r="B37" s="1">
        <v>40178</v>
      </c>
      <c r="C37" t="s">
        <v>1</v>
      </c>
      <c r="D37" t="s">
        <v>3</v>
      </c>
      <c r="E37">
        <v>8614826000</v>
      </c>
      <c r="F37" s="2">
        <v>45986.11859953704</v>
      </c>
      <c r="G37" t="str">
        <f>VLOOKUP(D37,MAP!B:C,2,0)</f>
        <v>Revenue</v>
      </c>
      <c r="H37" t="str">
        <f>VLOOKUP(D37,MAP!B:G,4,0)</f>
        <v>Revenue</v>
      </c>
    </row>
    <row r="38" spans="1:8" x14ac:dyDescent="0.25">
      <c r="A38" t="s">
        <v>0</v>
      </c>
      <c r="B38" s="1">
        <v>39813</v>
      </c>
      <c r="C38" t="s">
        <v>1</v>
      </c>
      <c r="D38" t="s">
        <v>3</v>
      </c>
      <c r="E38">
        <v>12389750000</v>
      </c>
      <c r="F38" s="2">
        <v>45986.11859953704</v>
      </c>
      <c r="G38" t="str">
        <f>VLOOKUP(D38,MAP!B:C,2,0)</f>
        <v>Revenue</v>
      </c>
      <c r="H38" t="str">
        <f>VLOOKUP(D38,MAP!B:G,4,0)</f>
        <v>Revenue</v>
      </c>
    </row>
    <row r="39" spans="1:8" x14ac:dyDescent="0.25">
      <c r="A39" t="s">
        <v>0</v>
      </c>
      <c r="B39" s="1">
        <v>39447</v>
      </c>
      <c r="C39" t="s">
        <v>1</v>
      </c>
      <c r="D39" t="s">
        <v>3</v>
      </c>
      <c r="E39">
        <v>9961982000</v>
      </c>
      <c r="F39" s="2">
        <v>45986.11859953704</v>
      </c>
      <c r="G39" t="str">
        <f>VLOOKUP(D39,MAP!B:C,2,0)</f>
        <v>Revenue</v>
      </c>
      <c r="H39" t="str">
        <f>VLOOKUP(D39,MAP!B:G,4,0)</f>
        <v>Revenue</v>
      </c>
    </row>
    <row r="40" spans="1:8" x14ac:dyDescent="0.25">
      <c r="A40" t="s">
        <v>0</v>
      </c>
      <c r="B40" s="1">
        <v>39082</v>
      </c>
      <c r="C40" t="s">
        <v>1</v>
      </c>
      <c r="D40" t="s">
        <v>3</v>
      </c>
      <c r="E40">
        <v>8074253000</v>
      </c>
      <c r="F40" s="2">
        <v>45986.11859953704</v>
      </c>
      <c r="G40" t="str">
        <f>VLOOKUP(D40,MAP!B:C,2,0)</f>
        <v>Revenue</v>
      </c>
      <c r="H40" t="str">
        <f>VLOOKUP(D40,MAP!B:G,4,0)</f>
        <v>Revenue</v>
      </c>
    </row>
    <row r="41" spans="1:8" x14ac:dyDescent="0.25">
      <c r="A41" t="s">
        <v>0</v>
      </c>
      <c r="B41" s="1">
        <v>38717</v>
      </c>
      <c r="C41" t="s">
        <v>1</v>
      </c>
      <c r="D41" t="s">
        <v>3</v>
      </c>
      <c r="E41">
        <v>7584244000</v>
      </c>
      <c r="F41" s="2">
        <v>45986.11859953704</v>
      </c>
      <c r="G41" t="str">
        <f>VLOOKUP(D41,MAP!B:C,2,0)</f>
        <v>Revenue</v>
      </c>
      <c r="H41" t="str">
        <f>VLOOKUP(D41,MAP!B:G,4,0)</f>
        <v>Revenue</v>
      </c>
    </row>
    <row r="42" spans="1:8" x14ac:dyDescent="0.25">
      <c r="A42" t="s">
        <v>0</v>
      </c>
      <c r="B42" s="1">
        <v>45657</v>
      </c>
      <c r="C42" t="s">
        <v>1</v>
      </c>
      <c r="D42" t="s">
        <v>4</v>
      </c>
      <c r="E42">
        <v>5435000000</v>
      </c>
      <c r="F42" s="2">
        <v>45986.11859953704</v>
      </c>
      <c r="G42" t="str">
        <f>VLOOKUP(D42,MAP!B:C,2,0)</f>
        <v>Cost of Revenue</v>
      </c>
      <c r="H42" t="str">
        <f>VLOOKUP(D42,MAP!B:G,4,0)</f>
        <v>COGS</v>
      </c>
    </row>
    <row r="43" spans="1:8" x14ac:dyDescent="0.25">
      <c r="A43" t="s">
        <v>0</v>
      </c>
      <c r="B43" s="1">
        <v>45291</v>
      </c>
      <c r="C43" t="s">
        <v>1</v>
      </c>
      <c r="D43" t="s">
        <v>4</v>
      </c>
      <c r="E43">
        <v>4052000000</v>
      </c>
      <c r="F43" s="2">
        <v>45986.11859953704</v>
      </c>
      <c r="G43" t="str">
        <f>VLOOKUP(D43,MAP!B:C,2,0)</f>
        <v>Cost of Revenue</v>
      </c>
      <c r="H43" t="str">
        <f>VLOOKUP(D43,MAP!B:G,4,0)</f>
        <v>COGS</v>
      </c>
    </row>
    <row r="44" spans="1:8" x14ac:dyDescent="0.25">
      <c r="A44" t="s">
        <v>0</v>
      </c>
      <c r="B44" s="1">
        <v>44926</v>
      </c>
      <c r="C44" t="s">
        <v>1</v>
      </c>
      <c r="D44" t="s">
        <v>4</v>
      </c>
      <c r="E44">
        <v>4820000000</v>
      </c>
      <c r="F44" s="2">
        <v>45986.11859953704</v>
      </c>
      <c r="G44" t="str">
        <f>VLOOKUP(D44,MAP!B:C,2,0)</f>
        <v>Cost of Revenue</v>
      </c>
      <c r="H44" t="str">
        <f>VLOOKUP(D44,MAP!B:G,4,0)</f>
        <v>COGS</v>
      </c>
    </row>
    <row r="45" spans="1:8" x14ac:dyDescent="0.25">
      <c r="A45" t="s">
        <v>0</v>
      </c>
      <c r="B45" s="1">
        <v>44561</v>
      </c>
      <c r="C45" t="s">
        <v>1</v>
      </c>
      <c r="D45" t="s">
        <v>4</v>
      </c>
      <c r="E45">
        <v>4445000000</v>
      </c>
      <c r="F45" s="2">
        <v>45986.11859953704</v>
      </c>
      <c r="G45" t="str">
        <f>VLOOKUP(D45,MAP!B:C,2,0)</f>
        <v>Cost of Revenue</v>
      </c>
      <c r="H45" t="str">
        <f>VLOOKUP(D45,MAP!B:G,4,0)</f>
        <v>COGS</v>
      </c>
    </row>
    <row r="46" spans="1:8" x14ac:dyDescent="0.25">
      <c r="A46" t="s">
        <v>0</v>
      </c>
      <c r="B46" s="1">
        <v>44196</v>
      </c>
      <c r="C46" t="s">
        <v>1</v>
      </c>
      <c r="D46" t="s">
        <v>4</v>
      </c>
      <c r="E46">
        <v>3530000000</v>
      </c>
      <c r="F46" s="2">
        <v>45986.11859953704</v>
      </c>
      <c r="G46" t="str">
        <f>VLOOKUP(D46,MAP!B:C,2,0)</f>
        <v>Cost of Revenue</v>
      </c>
      <c r="H46" t="str">
        <f>VLOOKUP(D46,MAP!B:G,4,0)</f>
        <v>COGS</v>
      </c>
    </row>
    <row r="47" spans="1:8" x14ac:dyDescent="0.25">
      <c r="A47" t="s">
        <v>0</v>
      </c>
      <c r="B47" s="1">
        <v>43830</v>
      </c>
      <c r="C47" t="s">
        <v>1</v>
      </c>
      <c r="D47" t="s">
        <v>4</v>
      </c>
      <c r="E47">
        <v>4575000000</v>
      </c>
      <c r="F47" s="2">
        <v>45986.11859953704</v>
      </c>
      <c r="G47" t="str">
        <f>VLOOKUP(D47,MAP!B:C,2,0)</f>
        <v>Cost of Revenue</v>
      </c>
      <c r="H47" t="str">
        <f>VLOOKUP(D47,MAP!B:G,4,0)</f>
        <v>COGS</v>
      </c>
    </row>
    <row r="48" spans="1:8" x14ac:dyDescent="0.25">
      <c r="A48" t="s">
        <v>0</v>
      </c>
      <c r="B48" s="1">
        <v>43465</v>
      </c>
      <c r="C48" t="s">
        <v>1</v>
      </c>
      <c r="D48" t="s">
        <v>4</v>
      </c>
      <c r="E48">
        <v>4192000000</v>
      </c>
      <c r="F48" s="2">
        <v>45986.11859953704</v>
      </c>
      <c r="G48" t="str">
        <f>VLOOKUP(D48,MAP!B:C,2,0)</f>
        <v>Cost of Revenue</v>
      </c>
      <c r="H48" t="str">
        <f>VLOOKUP(D48,MAP!B:G,4,0)</f>
        <v>COGS</v>
      </c>
    </row>
    <row r="49" spans="1:8" x14ac:dyDescent="0.25">
      <c r="A49" t="s">
        <v>0</v>
      </c>
      <c r="B49" s="1">
        <v>43100</v>
      </c>
      <c r="C49" t="s">
        <v>1</v>
      </c>
      <c r="D49" t="s">
        <v>4</v>
      </c>
      <c r="E49">
        <v>3859000000</v>
      </c>
      <c r="F49" s="2">
        <v>45986.11859953704</v>
      </c>
      <c r="G49" t="str">
        <f>VLOOKUP(D49,MAP!B:C,2,0)</f>
        <v>Cost of Revenue</v>
      </c>
      <c r="H49" t="str">
        <f>VLOOKUP(D49,MAP!B:G,4,0)</f>
        <v>COGS</v>
      </c>
    </row>
    <row r="50" spans="1:8" x14ac:dyDescent="0.25">
      <c r="A50" t="s">
        <v>0</v>
      </c>
      <c r="B50" s="1">
        <v>42735</v>
      </c>
      <c r="C50" t="s">
        <v>1</v>
      </c>
      <c r="D50" t="s">
        <v>4</v>
      </c>
      <c r="E50">
        <v>4312000000</v>
      </c>
      <c r="F50" s="2">
        <v>45986.11859953704</v>
      </c>
      <c r="G50" t="str">
        <f>VLOOKUP(D50,MAP!B:C,2,0)</f>
        <v>Cost of Revenue</v>
      </c>
      <c r="H50" t="str">
        <f>VLOOKUP(D50,MAP!B:G,4,0)</f>
        <v>COGS</v>
      </c>
    </row>
    <row r="51" spans="1:8" x14ac:dyDescent="0.25">
      <c r="A51" t="s">
        <v>0</v>
      </c>
      <c r="B51" s="1">
        <v>42369</v>
      </c>
      <c r="C51" t="s">
        <v>1</v>
      </c>
      <c r="D51" t="s">
        <v>4</v>
      </c>
      <c r="E51">
        <v>31437000000</v>
      </c>
      <c r="F51" s="2">
        <v>45986.11859953704</v>
      </c>
      <c r="G51" t="str">
        <f>VLOOKUP(D51,MAP!B:C,2,0)</f>
        <v>Cost of Revenue</v>
      </c>
      <c r="H51" t="str">
        <f>VLOOKUP(D51,MAP!B:G,4,0)</f>
        <v>COGS</v>
      </c>
    </row>
    <row r="52" spans="1:8" x14ac:dyDescent="0.25">
      <c r="A52" t="s">
        <v>0</v>
      </c>
      <c r="B52" s="1">
        <v>42004</v>
      </c>
      <c r="C52" t="s">
        <v>1</v>
      </c>
      <c r="D52" t="s">
        <v>4</v>
      </c>
      <c r="E52">
        <v>12910000000</v>
      </c>
      <c r="F52" s="2">
        <v>45986.11859953704</v>
      </c>
      <c r="G52" t="str">
        <f>VLOOKUP(D52,MAP!B:C,2,0)</f>
        <v>Cost of Revenue</v>
      </c>
      <c r="H52" t="str">
        <f>VLOOKUP(D52,MAP!B:G,4,0)</f>
        <v>COGS</v>
      </c>
    </row>
    <row r="53" spans="1:8" x14ac:dyDescent="0.25">
      <c r="A53" t="s">
        <v>0</v>
      </c>
      <c r="B53" s="1">
        <v>41639</v>
      </c>
      <c r="C53" t="s">
        <v>1</v>
      </c>
      <c r="D53" t="s">
        <v>4</v>
      </c>
      <c r="E53">
        <v>10053000000</v>
      </c>
      <c r="F53" s="2">
        <v>45986.11859953704</v>
      </c>
      <c r="G53" t="str">
        <f>VLOOKUP(D53,MAP!B:C,2,0)</f>
        <v>Cost of Revenue</v>
      </c>
      <c r="H53" t="str">
        <f>VLOOKUP(D53,MAP!B:G,4,0)</f>
        <v>COGS</v>
      </c>
    </row>
    <row r="54" spans="1:8" x14ac:dyDescent="0.25">
      <c r="A54" t="s">
        <v>0</v>
      </c>
      <c r="B54" s="1">
        <v>41274</v>
      </c>
      <c r="C54" t="s">
        <v>1</v>
      </c>
      <c r="D54" t="s">
        <v>4</v>
      </c>
      <c r="E54">
        <v>10380000000</v>
      </c>
      <c r="F54" s="2">
        <v>45986.11859953704</v>
      </c>
      <c r="G54" t="str">
        <f>VLOOKUP(D54,MAP!B:C,2,0)</f>
        <v>Cost of Revenue</v>
      </c>
      <c r="H54" t="str">
        <f>VLOOKUP(D54,MAP!B:G,4,0)</f>
        <v>COGS</v>
      </c>
    </row>
    <row r="55" spans="1:8" x14ac:dyDescent="0.25">
      <c r="A55" t="s">
        <v>0</v>
      </c>
      <c r="B55" s="1">
        <v>40908</v>
      </c>
      <c r="C55" t="s">
        <v>1</v>
      </c>
      <c r="D55" t="s">
        <v>4</v>
      </c>
      <c r="E55">
        <v>7105000000</v>
      </c>
      <c r="F55" s="2">
        <v>45986.11859953704</v>
      </c>
      <c r="G55" t="str">
        <f>VLOOKUP(D55,MAP!B:C,2,0)</f>
        <v>Cost of Revenue</v>
      </c>
      <c r="H55" t="str">
        <f>VLOOKUP(D55,MAP!B:G,4,0)</f>
        <v>COGS</v>
      </c>
    </row>
    <row r="56" spans="1:8" x14ac:dyDescent="0.25">
      <c r="A56" t="s">
        <v>0</v>
      </c>
      <c r="B56" s="1">
        <v>40543</v>
      </c>
      <c r="C56" t="s">
        <v>1</v>
      </c>
      <c r="D56" t="s">
        <v>4</v>
      </c>
      <c r="E56">
        <v>5293000000</v>
      </c>
      <c r="F56" s="2">
        <v>45986.11859953704</v>
      </c>
      <c r="G56" t="str">
        <f>VLOOKUP(D56,MAP!B:C,2,0)</f>
        <v>Cost of Revenue</v>
      </c>
      <c r="H56" t="str">
        <f>VLOOKUP(D56,MAP!B:G,4,0)</f>
        <v>COGS</v>
      </c>
    </row>
    <row r="57" spans="1:8" x14ac:dyDescent="0.25">
      <c r="A57" t="s">
        <v>0</v>
      </c>
      <c r="B57" s="1">
        <v>40178</v>
      </c>
      <c r="C57" t="s">
        <v>1</v>
      </c>
      <c r="D57" t="s">
        <v>4</v>
      </c>
      <c r="E57">
        <v>143000000</v>
      </c>
      <c r="F57" s="2">
        <v>45986.11859953704</v>
      </c>
      <c r="G57" t="str">
        <f>VLOOKUP(D57,MAP!B:C,2,0)</f>
        <v>Cost of Revenue</v>
      </c>
      <c r="H57" t="str">
        <f>VLOOKUP(D57,MAP!B:G,4,0)</f>
        <v>COGS</v>
      </c>
    </row>
    <row r="58" spans="1:8" x14ac:dyDescent="0.25">
      <c r="A58" t="s">
        <v>0</v>
      </c>
      <c r="B58" s="1">
        <v>39813</v>
      </c>
      <c r="C58" t="s">
        <v>1</v>
      </c>
      <c r="D58" t="s">
        <v>4</v>
      </c>
      <c r="E58">
        <v>2066116000</v>
      </c>
      <c r="F58" s="2">
        <v>45986.11859953704</v>
      </c>
      <c r="G58" t="str">
        <f>VLOOKUP(D58,MAP!B:C,2,0)</f>
        <v>Cost of Revenue</v>
      </c>
      <c r="H58" t="str">
        <f>VLOOKUP(D58,MAP!B:G,4,0)</f>
        <v>COGS</v>
      </c>
    </row>
    <row r="59" spans="1:8" x14ac:dyDescent="0.25">
      <c r="A59" t="s">
        <v>0</v>
      </c>
      <c r="B59" s="1">
        <v>39447</v>
      </c>
      <c r="C59" t="s">
        <v>1</v>
      </c>
      <c r="D59" t="s">
        <v>4</v>
      </c>
      <c r="E59">
        <v>1824033000</v>
      </c>
      <c r="F59" s="2">
        <v>45986.11859953704</v>
      </c>
      <c r="G59" t="str">
        <f>VLOOKUP(D59,MAP!B:C,2,0)</f>
        <v>Cost of Revenue</v>
      </c>
      <c r="H59" t="str">
        <f>VLOOKUP(D59,MAP!B:G,4,0)</f>
        <v>COGS</v>
      </c>
    </row>
    <row r="60" spans="1:8" x14ac:dyDescent="0.25">
      <c r="A60" t="s">
        <v>0</v>
      </c>
      <c r="B60" s="1">
        <v>39082</v>
      </c>
      <c r="C60" t="s">
        <v>1</v>
      </c>
      <c r="D60" t="s">
        <v>4</v>
      </c>
      <c r="E60">
        <v>1466696000</v>
      </c>
      <c r="F60" s="2">
        <v>45986.11859953704</v>
      </c>
      <c r="G60" t="str">
        <f>VLOOKUP(D60,MAP!B:C,2,0)</f>
        <v>Cost of Revenue</v>
      </c>
      <c r="H60" t="str">
        <f>VLOOKUP(D60,MAP!B:G,4,0)</f>
        <v>COGS</v>
      </c>
    </row>
    <row r="61" spans="1:8" x14ac:dyDescent="0.25">
      <c r="A61" t="s">
        <v>0</v>
      </c>
      <c r="B61" s="1">
        <v>38717</v>
      </c>
      <c r="C61" t="s">
        <v>1</v>
      </c>
      <c r="D61" t="s">
        <v>4</v>
      </c>
      <c r="E61">
        <v>1140735000</v>
      </c>
      <c r="F61" s="2">
        <v>45986.11859953704</v>
      </c>
      <c r="G61" t="str">
        <f>VLOOKUP(D61,MAP!B:C,2,0)</f>
        <v>Cost of Revenue</v>
      </c>
      <c r="H61" t="str">
        <f>VLOOKUP(D61,MAP!B:G,4,0)</f>
        <v>COGS</v>
      </c>
    </row>
    <row r="62" spans="1:8" x14ac:dyDescent="0.25">
      <c r="A62" t="s">
        <v>0</v>
      </c>
      <c r="B62" s="1">
        <v>45657</v>
      </c>
      <c r="C62" t="s">
        <v>1</v>
      </c>
      <c r="D62" t="s">
        <v>5</v>
      </c>
      <c r="E62">
        <v>5435000000</v>
      </c>
      <c r="F62" s="2">
        <v>45986.11859953704</v>
      </c>
      <c r="G62" t="str">
        <f>VLOOKUP(D62,MAP!B:C,2,0)</f>
        <v>Cost of Revenue</v>
      </c>
      <c r="H62" t="str">
        <f>VLOOKUP(D62,MAP!B:G,4,0)</f>
        <v>COGS</v>
      </c>
    </row>
    <row r="63" spans="1:8" x14ac:dyDescent="0.25">
      <c r="A63" t="s">
        <v>0</v>
      </c>
      <c r="B63" s="1">
        <v>45291</v>
      </c>
      <c r="C63" t="s">
        <v>1</v>
      </c>
      <c r="D63" t="s">
        <v>5</v>
      </c>
      <c r="E63">
        <v>4052000000</v>
      </c>
      <c r="F63" s="2">
        <v>45986.11859953704</v>
      </c>
      <c r="G63" t="str">
        <f>VLOOKUP(D63,MAP!B:C,2,0)</f>
        <v>Cost of Revenue</v>
      </c>
      <c r="H63" t="str">
        <f>VLOOKUP(D63,MAP!B:G,4,0)</f>
        <v>COGS</v>
      </c>
    </row>
    <row r="64" spans="1:8" x14ac:dyDescent="0.25">
      <c r="A64" t="s">
        <v>0</v>
      </c>
      <c r="B64" s="1">
        <v>44926</v>
      </c>
      <c r="C64" t="s">
        <v>1</v>
      </c>
      <c r="D64" t="s">
        <v>5</v>
      </c>
      <c r="E64">
        <v>4820000000</v>
      </c>
      <c r="F64" s="2">
        <v>45986.11859953704</v>
      </c>
      <c r="G64" t="str">
        <f>VLOOKUP(D64,MAP!B:C,2,0)</f>
        <v>Cost of Revenue</v>
      </c>
      <c r="H64" t="str">
        <f>VLOOKUP(D64,MAP!B:G,4,0)</f>
        <v>COGS</v>
      </c>
    </row>
    <row r="65" spans="1:8" x14ac:dyDescent="0.25">
      <c r="A65" t="s">
        <v>0</v>
      </c>
      <c r="B65" s="1">
        <v>44561</v>
      </c>
      <c r="C65" t="s">
        <v>1</v>
      </c>
      <c r="D65" t="s">
        <v>5</v>
      </c>
      <c r="E65">
        <v>4445000000</v>
      </c>
      <c r="F65" s="2">
        <v>45986.11859953704</v>
      </c>
      <c r="G65" t="str">
        <f>VLOOKUP(D65,MAP!B:C,2,0)</f>
        <v>Cost of Revenue</v>
      </c>
      <c r="H65" t="str">
        <f>VLOOKUP(D65,MAP!B:G,4,0)</f>
        <v>COGS</v>
      </c>
    </row>
    <row r="66" spans="1:8" x14ac:dyDescent="0.25">
      <c r="A66" t="s">
        <v>0</v>
      </c>
      <c r="B66" s="1">
        <v>44196</v>
      </c>
      <c r="C66" t="s">
        <v>1</v>
      </c>
      <c r="D66" t="s">
        <v>5</v>
      </c>
      <c r="E66">
        <v>3530000000</v>
      </c>
      <c r="F66" s="2">
        <v>45986.11859953704</v>
      </c>
      <c r="G66" t="str">
        <f>VLOOKUP(D66,MAP!B:C,2,0)</f>
        <v>Cost of Revenue</v>
      </c>
      <c r="H66" t="str">
        <f>VLOOKUP(D66,MAP!B:G,4,0)</f>
        <v>COGS</v>
      </c>
    </row>
    <row r="67" spans="1:8" x14ac:dyDescent="0.25">
      <c r="A67" t="s">
        <v>0</v>
      </c>
      <c r="B67" s="1">
        <v>43830</v>
      </c>
      <c r="C67" t="s">
        <v>1</v>
      </c>
      <c r="D67" t="s">
        <v>5</v>
      </c>
      <c r="E67">
        <v>4575000000</v>
      </c>
      <c r="F67" s="2">
        <v>45986.11859953704</v>
      </c>
      <c r="G67" t="str">
        <f>VLOOKUP(D67,MAP!B:C,2,0)</f>
        <v>Cost of Revenue</v>
      </c>
      <c r="H67" t="str">
        <f>VLOOKUP(D67,MAP!B:G,4,0)</f>
        <v>COGS</v>
      </c>
    </row>
    <row r="68" spans="1:8" x14ac:dyDescent="0.25">
      <c r="A68" t="s">
        <v>0</v>
      </c>
      <c r="B68" s="1">
        <v>43465</v>
      </c>
      <c r="C68" t="s">
        <v>1</v>
      </c>
      <c r="D68" t="s">
        <v>5</v>
      </c>
      <c r="E68">
        <v>4192000000</v>
      </c>
      <c r="F68" s="2">
        <v>45986.11859953704</v>
      </c>
      <c r="G68" t="str">
        <f>VLOOKUP(D68,MAP!B:C,2,0)</f>
        <v>Cost of Revenue</v>
      </c>
      <c r="H68" t="str">
        <f>VLOOKUP(D68,MAP!B:G,4,0)</f>
        <v>COGS</v>
      </c>
    </row>
    <row r="69" spans="1:8" x14ac:dyDescent="0.25">
      <c r="A69" t="s">
        <v>0</v>
      </c>
      <c r="B69" s="1">
        <v>43100</v>
      </c>
      <c r="C69" t="s">
        <v>1</v>
      </c>
      <c r="D69" t="s">
        <v>5</v>
      </c>
      <c r="E69">
        <v>3859000000</v>
      </c>
      <c r="F69" s="2">
        <v>45986.11859953704</v>
      </c>
      <c r="G69" t="str">
        <f>VLOOKUP(D69,MAP!B:C,2,0)</f>
        <v>Cost of Revenue</v>
      </c>
      <c r="H69" t="str">
        <f>VLOOKUP(D69,MAP!B:G,4,0)</f>
        <v>COGS</v>
      </c>
    </row>
    <row r="70" spans="1:8" x14ac:dyDescent="0.25">
      <c r="A70" t="s">
        <v>0</v>
      </c>
      <c r="B70" s="1">
        <v>42735</v>
      </c>
      <c r="C70" t="s">
        <v>1</v>
      </c>
      <c r="D70" t="s">
        <v>5</v>
      </c>
      <c r="E70">
        <v>4312000000</v>
      </c>
      <c r="F70" s="2">
        <v>45986.11859953704</v>
      </c>
      <c r="G70" t="str">
        <f>VLOOKUP(D70,MAP!B:C,2,0)</f>
        <v>Cost of Revenue</v>
      </c>
      <c r="H70" t="str">
        <f>VLOOKUP(D70,MAP!B:G,4,0)</f>
        <v>COGS</v>
      </c>
    </row>
    <row r="71" spans="1:8" x14ac:dyDescent="0.25">
      <c r="A71" t="s">
        <v>0</v>
      </c>
      <c r="B71" s="1">
        <v>42369</v>
      </c>
      <c r="C71" t="s">
        <v>1</v>
      </c>
      <c r="D71" t="s">
        <v>5</v>
      </c>
      <c r="E71">
        <v>31437000000</v>
      </c>
      <c r="F71" s="2">
        <v>45986.11859953704</v>
      </c>
      <c r="G71" t="str">
        <f>VLOOKUP(D71,MAP!B:C,2,0)</f>
        <v>Cost of Revenue</v>
      </c>
      <c r="H71" t="str">
        <f>VLOOKUP(D71,MAP!B:G,4,0)</f>
        <v>COGS</v>
      </c>
    </row>
    <row r="72" spans="1:8" x14ac:dyDescent="0.25">
      <c r="A72" t="s">
        <v>0</v>
      </c>
      <c r="B72" s="1">
        <v>42004</v>
      </c>
      <c r="C72" t="s">
        <v>1</v>
      </c>
      <c r="D72" t="s">
        <v>5</v>
      </c>
      <c r="E72">
        <v>12910000000</v>
      </c>
      <c r="F72" s="2">
        <v>45986.11859953704</v>
      </c>
      <c r="G72" t="str">
        <f>VLOOKUP(D72,MAP!B:C,2,0)</f>
        <v>Cost of Revenue</v>
      </c>
      <c r="H72" t="str">
        <f>VLOOKUP(D72,MAP!B:G,4,0)</f>
        <v>COGS</v>
      </c>
    </row>
    <row r="73" spans="1:8" x14ac:dyDescent="0.25">
      <c r="A73" t="s">
        <v>0</v>
      </c>
      <c r="B73" s="1">
        <v>41639</v>
      </c>
      <c r="C73" t="s">
        <v>1</v>
      </c>
      <c r="D73" t="s">
        <v>5</v>
      </c>
      <c r="E73">
        <v>10053000000</v>
      </c>
      <c r="F73" s="2">
        <v>45986.11859953704</v>
      </c>
      <c r="G73" t="str">
        <f>VLOOKUP(D73,MAP!B:C,2,0)</f>
        <v>Cost of Revenue</v>
      </c>
      <c r="H73" t="str">
        <f>VLOOKUP(D73,MAP!B:G,4,0)</f>
        <v>COGS</v>
      </c>
    </row>
    <row r="74" spans="1:8" x14ac:dyDescent="0.25">
      <c r="A74" t="s">
        <v>0</v>
      </c>
      <c r="B74" s="1">
        <v>41274</v>
      </c>
      <c r="C74" t="s">
        <v>1</v>
      </c>
      <c r="D74" t="s">
        <v>5</v>
      </c>
      <c r="E74">
        <v>10380000000</v>
      </c>
      <c r="F74" s="2">
        <v>45986.11859953704</v>
      </c>
      <c r="G74" t="str">
        <f>VLOOKUP(D74,MAP!B:C,2,0)</f>
        <v>Cost of Revenue</v>
      </c>
      <c r="H74" t="str">
        <f>VLOOKUP(D74,MAP!B:G,4,0)</f>
        <v>COGS</v>
      </c>
    </row>
    <row r="75" spans="1:8" x14ac:dyDescent="0.25">
      <c r="A75" t="s">
        <v>0</v>
      </c>
      <c r="B75" s="1">
        <v>40908</v>
      </c>
      <c r="C75" t="s">
        <v>1</v>
      </c>
      <c r="D75" t="s">
        <v>5</v>
      </c>
      <c r="E75">
        <v>7105000000</v>
      </c>
      <c r="F75" s="2">
        <v>45986.11859953704</v>
      </c>
      <c r="G75" t="str">
        <f>VLOOKUP(D75,MAP!B:C,2,0)</f>
        <v>Cost of Revenue</v>
      </c>
      <c r="H75" t="str">
        <f>VLOOKUP(D75,MAP!B:G,4,0)</f>
        <v>COGS</v>
      </c>
    </row>
    <row r="76" spans="1:8" x14ac:dyDescent="0.25">
      <c r="A76" t="s">
        <v>0</v>
      </c>
      <c r="B76" s="1">
        <v>40543</v>
      </c>
      <c r="C76" t="s">
        <v>1</v>
      </c>
      <c r="D76" t="s">
        <v>5</v>
      </c>
      <c r="E76">
        <v>5293000000</v>
      </c>
      <c r="F76" s="2">
        <v>45986.11859953704</v>
      </c>
      <c r="G76" t="str">
        <f>VLOOKUP(D76,MAP!B:C,2,0)</f>
        <v>Cost of Revenue</v>
      </c>
      <c r="H76" t="str">
        <f>VLOOKUP(D76,MAP!B:G,4,0)</f>
        <v>COGS</v>
      </c>
    </row>
    <row r="77" spans="1:8" x14ac:dyDescent="0.25">
      <c r="A77" t="s">
        <v>0</v>
      </c>
      <c r="B77" s="1">
        <v>40178</v>
      </c>
      <c r="C77" t="s">
        <v>1</v>
      </c>
      <c r="D77" t="s">
        <v>5</v>
      </c>
      <c r="E77">
        <v>143000000</v>
      </c>
      <c r="F77" s="2">
        <v>45986.11859953704</v>
      </c>
      <c r="G77" t="str">
        <f>VLOOKUP(D77,MAP!B:C,2,0)</f>
        <v>Cost of Revenue</v>
      </c>
      <c r="H77" t="str">
        <f>VLOOKUP(D77,MAP!B:G,4,0)</f>
        <v>COGS</v>
      </c>
    </row>
    <row r="78" spans="1:8" x14ac:dyDescent="0.25">
      <c r="A78" t="s">
        <v>0</v>
      </c>
      <c r="B78" s="1">
        <v>39813</v>
      </c>
      <c r="C78" t="s">
        <v>1</v>
      </c>
      <c r="D78" t="s">
        <v>5</v>
      </c>
      <c r="E78">
        <v>2066116000</v>
      </c>
      <c r="F78" s="2">
        <v>45986.11859953704</v>
      </c>
      <c r="G78" t="str">
        <f>VLOOKUP(D78,MAP!B:C,2,0)</f>
        <v>Cost of Revenue</v>
      </c>
      <c r="H78" t="str">
        <f>VLOOKUP(D78,MAP!B:G,4,0)</f>
        <v>COGS</v>
      </c>
    </row>
    <row r="79" spans="1:8" x14ac:dyDescent="0.25">
      <c r="A79" t="s">
        <v>0</v>
      </c>
      <c r="B79" s="1">
        <v>39447</v>
      </c>
      <c r="C79" t="s">
        <v>1</v>
      </c>
      <c r="D79" t="s">
        <v>5</v>
      </c>
      <c r="E79">
        <v>1824033000</v>
      </c>
      <c r="F79" s="2">
        <v>45986.11859953704</v>
      </c>
      <c r="G79" t="str">
        <f>VLOOKUP(D79,MAP!B:C,2,0)</f>
        <v>Cost of Revenue</v>
      </c>
      <c r="H79" t="str">
        <f>VLOOKUP(D79,MAP!B:G,4,0)</f>
        <v>COGS</v>
      </c>
    </row>
    <row r="80" spans="1:8" x14ac:dyDescent="0.25">
      <c r="A80" t="s">
        <v>0</v>
      </c>
      <c r="B80" s="1">
        <v>39082</v>
      </c>
      <c r="C80" t="s">
        <v>1</v>
      </c>
      <c r="D80" t="s">
        <v>5</v>
      </c>
      <c r="E80">
        <v>1466696000</v>
      </c>
      <c r="F80" s="2">
        <v>45986.11859953704</v>
      </c>
      <c r="G80" t="str">
        <f>VLOOKUP(D80,MAP!B:C,2,0)</f>
        <v>Cost of Revenue</v>
      </c>
      <c r="H80" t="str">
        <f>VLOOKUP(D80,MAP!B:G,4,0)</f>
        <v>COGS</v>
      </c>
    </row>
    <row r="81" spans="1:8" x14ac:dyDescent="0.25">
      <c r="A81" t="s">
        <v>0</v>
      </c>
      <c r="B81" s="1">
        <v>38717</v>
      </c>
      <c r="C81" t="s">
        <v>1</v>
      </c>
      <c r="D81" t="s">
        <v>5</v>
      </c>
      <c r="E81">
        <v>1140735000</v>
      </c>
      <c r="F81" s="2">
        <v>45986.11859953704</v>
      </c>
      <c r="G81" t="str">
        <f>VLOOKUP(D81,MAP!B:C,2,0)</f>
        <v>Cost of Revenue</v>
      </c>
      <c r="H81" t="str">
        <f>VLOOKUP(D81,MAP!B:G,4,0)</f>
        <v>COGS</v>
      </c>
    </row>
    <row r="82" spans="1:8" x14ac:dyDescent="0.25">
      <c r="A82" t="s">
        <v>0</v>
      </c>
      <c r="B82" s="1">
        <v>45657</v>
      </c>
      <c r="C82" t="s">
        <v>1</v>
      </c>
      <c r="D82" t="s">
        <v>6</v>
      </c>
      <c r="E82">
        <v>3199000000</v>
      </c>
      <c r="F82" s="2">
        <v>45986.11859953704</v>
      </c>
      <c r="G82" t="str">
        <f>VLOOKUP(D82,MAP!B:C,2,0)</f>
        <v>Operating Income</v>
      </c>
      <c r="H82" t="str">
        <f>VLOOKUP(D82,MAP!B:G,4,0)</f>
        <v>Operating Income</v>
      </c>
    </row>
    <row r="83" spans="1:8" x14ac:dyDescent="0.25">
      <c r="A83" t="s">
        <v>0</v>
      </c>
      <c r="B83" s="1">
        <v>45291</v>
      </c>
      <c r="C83" t="s">
        <v>1</v>
      </c>
      <c r="D83" t="s">
        <v>6</v>
      </c>
      <c r="E83">
        <v>3358000000</v>
      </c>
      <c r="F83" s="2">
        <v>45986.11859953704</v>
      </c>
      <c r="G83" t="str">
        <f>VLOOKUP(D83,MAP!B:C,2,0)</f>
        <v>Operating Income</v>
      </c>
      <c r="H83" t="str">
        <f>VLOOKUP(D83,MAP!B:G,4,0)</f>
        <v>Operating Income</v>
      </c>
    </row>
    <row r="84" spans="1:8" x14ac:dyDescent="0.25">
      <c r="A84" t="s">
        <v>0</v>
      </c>
      <c r="B84" s="1">
        <v>44926</v>
      </c>
      <c r="C84" t="s">
        <v>1</v>
      </c>
      <c r="D84" t="s">
        <v>6</v>
      </c>
      <c r="E84">
        <v>5082000000</v>
      </c>
      <c r="F84" s="2">
        <v>45986.11859953704</v>
      </c>
      <c r="G84" t="str">
        <f>VLOOKUP(D84,MAP!B:C,2,0)</f>
        <v>Operating Income</v>
      </c>
      <c r="H84" t="str">
        <f>VLOOKUP(D84,MAP!B:G,4,0)</f>
        <v>Operating Income</v>
      </c>
    </row>
    <row r="85" spans="1:8" x14ac:dyDescent="0.25">
      <c r="A85" t="s">
        <v>0</v>
      </c>
      <c r="B85" s="1">
        <v>44561</v>
      </c>
      <c r="C85" t="s">
        <v>1</v>
      </c>
      <c r="D85" t="s">
        <v>6</v>
      </c>
      <c r="E85">
        <v>2692000000</v>
      </c>
      <c r="F85" s="2">
        <v>45986.11859953704</v>
      </c>
      <c r="G85" t="str">
        <f>VLOOKUP(D85,MAP!B:C,2,0)</f>
        <v>Operating Income</v>
      </c>
      <c r="H85" t="str">
        <f>VLOOKUP(D85,MAP!B:G,4,0)</f>
        <v>Operating Income</v>
      </c>
    </row>
    <row r="86" spans="1:8" x14ac:dyDescent="0.25">
      <c r="A86" t="s">
        <v>0</v>
      </c>
      <c r="B86" s="1">
        <v>44196</v>
      </c>
      <c r="C86" t="s">
        <v>1</v>
      </c>
      <c r="D86" t="s">
        <v>6</v>
      </c>
      <c r="E86">
        <v>173000000</v>
      </c>
      <c r="F86" s="2">
        <v>45986.11859953704</v>
      </c>
      <c r="G86" t="str">
        <f>VLOOKUP(D86,MAP!B:C,2,0)</f>
        <v>Operating Income</v>
      </c>
      <c r="H86" t="str">
        <f>VLOOKUP(D86,MAP!B:G,4,0)</f>
        <v>Operating Income</v>
      </c>
    </row>
    <row r="87" spans="1:8" x14ac:dyDescent="0.25">
      <c r="A87" t="s">
        <v>0</v>
      </c>
      <c r="B87" s="1">
        <v>43830</v>
      </c>
      <c r="C87" t="s">
        <v>1</v>
      </c>
      <c r="D87" t="s">
        <v>6</v>
      </c>
      <c r="E87">
        <v>445000000</v>
      </c>
      <c r="F87" s="2">
        <v>45986.11859953704</v>
      </c>
      <c r="G87" t="str">
        <f>VLOOKUP(D87,MAP!B:C,2,0)</f>
        <v>Operating Income</v>
      </c>
      <c r="H87" t="str">
        <f>VLOOKUP(D87,MAP!B:G,4,0)</f>
        <v>Operating Income</v>
      </c>
    </row>
    <row r="88" spans="1:8" x14ac:dyDescent="0.25">
      <c r="A88" t="s">
        <v>0</v>
      </c>
      <c r="B88" s="1">
        <v>43465</v>
      </c>
      <c r="C88" t="s">
        <v>1</v>
      </c>
      <c r="D88" t="s">
        <v>6</v>
      </c>
      <c r="E88">
        <v>1969000000</v>
      </c>
      <c r="F88" s="2">
        <v>45986.11859953704</v>
      </c>
      <c r="G88" t="str">
        <f>VLOOKUP(D88,MAP!B:C,2,0)</f>
        <v>Operating Income</v>
      </c>
      <c r="H88" t="str">
        <f>VLOOKUP(D88,MAP!B:G,4,0)</f>
        <v>Operating Income</v>
      </c>
    </row>
    <row r="89" spans="1:8" x14ac:dyDescent="0.25">
      <c r="A89" t="s">
        <v>0</v>
      </c>
      <c r="B89" s="1">
        <v>43100</v>
      </c>
      <c r="C89" t="s">
        <v>1</v>
      </c>
      <c r="D89" t="s">
        <v>6</v>
      </c>
      <c r="E89">
        <v>847000000</v>
      </c>
      <c r="F89" s="2">
        <v>45986.11859953704</v>
      </c>
      <c r="G89" t="str">
        <f>VLOOKUP(D89,MAP!B:C,2,0)</f>
        <v>Operating Income</v>
      </c>
      <c r="H89" t="str">
        <f>VLOOKUP(D89,MAP!B:G,4,0)</f>
        <v>Operating Income</v>
      </c>
    </row>
    <row r="90" spans="1:8" x14ac:dyDescent="0.25">
      <c r="A90" t="s">
        <v>0</v>
      </c>
      <c r="B90" s="1">
        <v>42735</v>
      </c>
      <c r="C90" t="s">
        <v>1</v>
      </c>
      <c r="D90" t="s">
        <v>6</v>
      </c>
      <c r="E90">
        <v>-144000000</v>
      </c>
      <c r="F90" s="2">
        <v>45986.11859953704</v>
      </c>
      <c r="G90" t="str">
        <f>VLOOKUP(D90,MAP!B:C,2,0)</f>
        <v>Operating Income</v>
      </c>
      <c r="H90" t="str">
        <f>VLOOKUP(D90,MAP!B:G,4,0)</f>
        <v>Operating Income</v>
      </c>
    </row>
    <row r="91" spans="1:8" x14ac:dyDescent="0.25">
      <c r="A91" t="s">
        <v>0</v>
      </c>
      <c r="B91" s="1">
        <v>42369</v>
      </c>
      <c r="C91" t="s">
        <v>1</v>
      </c>
      <c r="D91" t="s">
        <v>6</v>
      </c>
      <c r="E91">
        <v>-25875000000</v>
      </c>
      <c r="F91" s="2">
        <v>45986.11859953704</v>
      </c>
      <c r="G91" t="str">
        <f>VLOOKUP(D91,MAP!B:C,2,0)</f>
        <v>Operating Income</v>
      </c>
      <c r="H91" t="str">
        <f>VLOOKUP(D91,MAP!B:G,4,0)</f>
        <v>Operating Income</v>
      </c>
    </row>
    <row r="92" spans="1:8" x14ac:dyDescent="0.25">
      <c r="A92" t="s">
        <v>0</v>
      </c>
      <c r="B92" s="1">
        <v>42004</v>
      </c>
      <c r="C92" t="s">
        <v>1</v>
      </c>
      <c r="D92" t="s">
        <v>6</v>
      </c>
      <c r="E92">
        <v>-636000000</v>
      </c>
      <c r="F92" s="2">
        <v>45986.11859953704</v>
      </c>
      <c r="G92" t="str">
        <f>VLOOKUP(D92,MAP!B:C,2,0)</f>
        <v>Operating Income</v>
      </c>
      <c r="H92" t="str">
        <f>VLOOKUP(D92,MAP!B:G,4,0)</f>
        <v>Operating Income</v>
      </c>
    </row>
    <row r="93" spans="1:8" x14ac:dyDescent="0.25">
      <c r="A93" t="s">
        <v>0</v>
      </c>
      <c r="B93" s="1">
        <v>41639</v>
      </c>
      <c r="C93" t="s">
        <v>1</v>
      </c>
      <c r="D93" t="s">
        <v>6</v>
      </c>
      <c r="E93">
        <v>4822000000</v>
      </c>
      <c r="F93" s="2">
        <v>45986.11859953704</v>
      </c>
      <c r="G93" t="str">
        <f>VLOOKUP(D93,MAP!B:C,2,0)</f>
        <v>Operating Income</v>
      </c>
      <c r="H93" t="str">
        <f>VLOOKUP(D93,MAP!B:G,4,0)</f>
        <v>Operating Income</v>
      </c>
    </row>
    <row r="94" spans="1:8" x14ac:dyDescent="0.25">
      <c r="A94" t="s">
        <v>0</v>
      </c>
      <c r="B94" s="1">
        <v>41274</v>
      </c>
      <c r="C94" t="s">
        <v>1</v>
      </c>
      <c r="D94" t="s">
        <v>6</v>
      </c>
      <c r="E94">
        <v>5073000000</v>
      </c>
      <c r="F94" s="2">
        <v>45986.11859953704</v>
      </c>
      <c r="G94" t="str">
        <f>VLOOKUP(D94,MAP!B:C,2,0)</f>
        <v>Operating Income</v>
      </c>
      <c r="H94" t="str">
        <f>VLOOKUP(D94,MAP!B:G,4,0)</f>
        <v>Operating Income</v>
      </c>
    </row>
    <row r="95" spans="1:8" x14ac:dyDescent="0.25">
      <c r="A95" t="s">
        <v>0</v>
      </c>
      <c r="B95" s="1">
        <v>40908</v>
      </c>
      <c r="C95" t="s">
        <v>1</v>
      </c>
      <c r="D95" t="s">
        <v>6</v>
      </c>
      <c r="E95">
        <v>8315000000</v>
      </c>
      <c r="F95" s="2">
        <v>45986.11859953704</v>
      </c>
      <c r="G95" t="str">
        <f>VLOOKUP(D95,MAP!B:C,2,0)</f>
        <v>Operating Income</v>
      </c>
      <c r="H95" t="str">
        <f>VLOOKUP(D95,MAP!B:G,4,0)</f>
        <v>Operating Income</v>
      </c>
    </row>
    <row r="96" spans="1:8" x14ac:dyDescent="0.25">
      <c r="A96" t="s">
        <v>0</v>
      </c>
      <c r="B96" s="1">
        <v>40543</v>
      </c>
      <c r="C96" t="s">
        <v>1</v>
      </c>
      <c r="D96" t="s">
        <v>6</v>
      </c>
      <c r="E96">
        <v>5618000000</v>
      </c>
      <c r="F96" s="2">
        <v>45986.11859953704</v>
      </c>
      <c r="G96" t="str">
        <f>VLOOKUP(D96,MAP!B:C,2,0)</f>
        <v>Operating Income</v>
      </c>
      <c r="H96" t="str">
        <f>VLOOKUP(D96,MAP!B:G,4,0)</f>
        <v>Operating Income</v>
      </c>
    </row>
    <row r="97" spans="1:8" x14ac:dyDescent="0.25">
      <c r="A97" t="s">
        <v>0</v>
      </c>
      <c r="B97" s="1">
        <v>40178</v>
      </c>
      <c r="C97" t="s">
        <v>1</v>
      </c>
      <c r="D97" t="s">
        <v>6</v>
      </c>
      <c r="E97">
        <v>568000000</v>
      </c>
      <c r="F97" s="2">
        <v>45986.11859953704</v>
      </c>
      <c r="G97" t="str">
        <f>VLOOKUP(D97,MAP!B:C,2,0)</f>
        <v>Operating Income</v>
      </c>
      <c r="H97" t="str">
        <f>VLOOKUP(D97,MAP!B:G,4,0)</f>
        <v>Operating Income</v>
      </c>
    </row>
    <row r="98" spans="1:8" x14ac:dyDescent="0.25">
      <c r="A98" t="s">
        <v>0</v>
      </c>
      <c r="B98" s="1">
        <v>39813</v>
      </c>
      <c r="C98" t="s">
        <v>1</v>
      </c>
      <c r="D98" t="s">
        <v>6</v>
      </c>
      <c r="E98">
        <v>1188902000</v>
      </c>
      <c r="F98" s="2">
        <v>45986.11859953704</v>
      </c>
      <c r="G98" t="str">
        <f>VLOOKUP(D98,MAP!B:C,2,0)</f>
        <v>Operating Income</v>
      </c>
      <c r="H98" t="str">
        <f>VLOOKUP(D98,MAP!B:G,4,0)</f>
        <v>Operating Income</v>
      </c>
    </row>
    <row r="99" spans="1:8" x14ac:dyDescent="0.25">
      <c r="A99" t="s">
        <v>0</v>
      </c>
      <c r="B99" s="1">
        <v>39447</v>
      </c>
      <c r="C99" t="s">
        <v>1</v>
      </c>
      <c r="D99" t="s">
        <v>6</v>
      </c>
      <c r="E99">
        <v>4951217000</v>
      </c>
      <c r="F99" s="2">
        <v>45986.11859953704</v>
      </c>
      <c r="G99" t="str">
        <f>VLOOKUP(D99,MAP!B:C,2,0)</f>
        <v>Operating Income</v>
      </c>
      <c r="H99" t="str">
        <f>VLOOKUP(D99,MAP!B:G,4,0)</f>
        <v>Operating Income</v>
      </c>
    </row>
    <row r="100" spans="1:8" x14ac:dyDescent="0.25">
      <c r="A100" t="s">
        <v>0</v>
      </c>
      <c r="B100" s="1">
        <v>39082</v>
      </c>
      <c r="C100" t="s">
        <v>1</v>
      </c>
      <c r="D100" t="s">
        <v>6</v>
      </c>
      <c r="E100">
        <v>4325026000</v>
      </c>
      <c r="F100" s="2">
        <v>45986.11859953704</v>
      </c>
      <c r="G100" t="str">
        <f>VLOOKUP(D100,MAP!B:C,2,0)</f>
        <v>Operating Income</v>
      </c>
      <c r="H100" t="str">
        <f>VLOOKUP(D100,MAP!B:G,4,0)</f>
        <v>Operating Income</v>
      </c>
    </row>
    <row r="101" spans="1:8" x14ac:dyDescent="0.25">
      <c r="A101" t="s">
        <v>0</v>
      </c>
      <c r="B101" s="1">
        <v>38717</v>
      </c>
      <c r="C101" t="s">
        <v>1</v>
      </c>
      <c r="D101" t="s">
        <v>6</v>
      </c>
      <c r="E101">
        <v>4376297000</v>
      </c>
      <c r="F101" s="2">
        <v>45986.11859953704</v>
      </c>
      <c r="G101" t="str">
        <f>VLOOKUP(D101,MAP!B:C,2,0)</f>
        <v>Operating Income</v>
      </c>
      <c r="H101" t="str">
        <f>VLOOKUP(D101,MAP!B:G,4,0)</f>
        <v>Operating Income</v>
      </c>
    </row>
    <row r="102" spans="1:8" x14ac:dyDescent="0.25">
      <c r="A102" t="s">
        <v>0</v>
      </c>
      <c r="B102" s="1">
        <v>45657</v>
      </c>
      <c r="C102" t="s">
        <v>1</v>
      </c>
      <c r="D102" t="s">
        <v>7</v>
      </c>
      <c r="E102">
        <v>372000000</v>
      </c>
      <c r="F102" s="2">
        <v>45986.11859953704</v>
      </c>
      <c r="G102" t="str">
        <f>VLOOKUP(D102,MAP!B:C,2,0)</f>
        <v>Operating Expenses</v>
      </c>
      <c r="H102" t="str">
        <f>VLOOKUP(D102,MAP!B:G,4,0)</f>
        <v>SG&amp;A</v>
      </c>
    </row>
    <row r="103" spans="1:8" x14ac:dyDescent="0.25">
      <c r="A103" t="s">
        <v>0</v>
      </c>
      <c r="B103" s="1">
        <v>45291</v>
      </c>
      <c r="C103" t="s">
        <v>1</v>
      </c>
      <c r="D103" t="s">
        <v>7</v>
      </c>
      <c r="E103">
        <v>351000000</v>
      </c>
      <c r="F103" s="2">
        <v>45986.11859953704</v>
      </c>
      <c r="G103" t="str">
        <f>VLOOKUP(D103,MAP!B:C,2,0)</f>
        <v>Operating Expenses</v>
      </c>
      <c r="H103" t="str">
        <f>VLOOKUP(D103,MAP!B:G,4,0)</f>
        <v>SG&amp;A</v>
      </c>
    </row>
    <row r="104" spans="1:8" x14ac:dyDescent="0.25">
      <c r="A104" t="s">
        <v>0</v>
      </c>
      <c r="B104" s="1">
        <v>44926</v>
      </c>
      <c r="C104" t="s">
        <v>1</v>
      </c>
      <c r="D104" t="s">
        <v>7</v>
      </c>
      <c r="E104">
        <v>483000000</v>
      </c>
      <c r="F104" s="2">
        <v>45986.11859953704</v>
      </c>
      <c r="G104" t="str">
        <f>VLOOKUP(D104,MAP!B:C,2,0)</f>
        <v>Operating Expenses</v>
      </c>
      <c r="H104" t="str">
        <f>VLOOKUP(D104,MAP!B:G,4,0)</f>
        <v>SG&amp;A</v>
      </c>
    </row>
    <row r="105" spans="1:8" x14ac:dyDescent="0.25">
      <c r="A105" t="s">
        <v>0</v>
      </c>
      <c r="B105" s="1">
        <v>44561</v>
      </c>
      <c r="C105" t="s">
        <v>1</v>
      </c>
      <c r="D105" t="s">
        <v>7</v>
      </c>
      <c r="E105">
        <v>376000000</v>
      </c>
      <c r="F105" s="2">
        <v>45986.11859953704</v>
      </c>
      <c r="G105" t="str">
        <f>VLOOKUP(D105,MAP!B:C,2,0)</f>
        <v>Operating Expenses</v>
      </c>
      <c r="H105" t="str">
        <f>VLOOKUP(D105,MAP!B:G,4,0)</f>
        <v>SG&amp;A</v>
      </c>
    </row>
    <row r="106" spans="1:8" x14ac:dyDescent="0.25">
      <c r="A106" t="s">
        <v>0</v>
      </c>
      <c r="B106" s="1">
        <v>44196</v>
      </c>
      <c r="C106" t="s">
        <v>1</v>
      </c>
      <c r="D106" t="s">
        <v>7</v>
      </c>
      <c r="E106">
        <v>290000000</v>
      </c>
      <c r="F106" s="2">
        <v>45986.11859953704</v>
      </c>
      <c r="G106" t="str">
        <f>VLOOKUP(D106,MAP!B:C,2,0)</f>
        <v>Operating Expenses</v>
      </c>
      <c r="H106" t="str">
        <f>VLOOKUP(D106,MAP!B:G,4,0)</f>
        <v>SG&amp;A</v>
      </c>
    </row>
    <row r="107" spans="1:8" x14ac:dyDescent="0.25">
      <c r="A107" t="s">
        <v>0</v>
      </c>
      <c r="B107" s="1">
        <v>43830</v>
      </c>
      <c r="C107" t="s">
        <v>1</v>
      </c>
      <c r="D107" t="s">
        <v>7</v>
      </c>
      <c r="E107">
        <v>406000000</v>
      </c>
      <c r="F107" s="2">
        <v>45986.11859953704</v>
      </c>
      <c r="G107" t="str">
        <f>VLOOKUP(D107,MAP!B:C,2,0)</f>
        <v>Operating Expenses</v>
      </c>
      <c r="H107" t="str">
        <f>VLOOKUP(D107,MAP!B:G,4,0)</f>
        <v>SG&amp;A</v>
      </c>
    </row>
    <row r="108" spans="1:8" x14ac:dyDescent="0.25">
      <c r="A108" t="s">
        <v>0</v>
      </c>
      <c r="B108" s="1">
        <v>43465</v>
      </c>
      <c r="C108" t="s">
        <v>1</v>
      </c>
      <c r="D108" t="s">
        <v>7</v>
      </c>
      <c r="E108">
        <v>431000000</v>
      </c>
      <c r="F108" s="2">
        <v>45986.11859953704</v>
      </c>
      <c r="G108" t="str">
        <f>VLOOKUP(D108,MAP!B:C,2,0)</f>
        <v>Operating Expenses</v>
      </c>
      <c r="H108" t="str">
        <f>VLOOKUP(D108,MAP!B:G,4,0)</f>
        <v>SG&amp;A</v>
      </c>
    </row>
    <row r="109" spans="1:8" x14ac:dyDescent="0.25">
      <c r="A109" t="s">
        <v>0</v>
      </c>
      <c r="B109" s="1">
        <v>43100</v>
      </c>
      <c r="C109" t="s">
        <v>1</v>
      </c>
      <c r="D109" t="s">
        <v>7</v>
      </c>
      <c r="E109">
        <v>395000000</v>
      </c>
      <c r="F109" s="2">
        <v>45986.11859953704</v>
      </c>
      <c r="G109" t="str">
        <f>VLOOKUP(D109,MAP!B:C,2,0)</f>
        <v>Operating Expenses</v>
      </c>
      <c r="H109" t="str">
        <f>VLOOKUP(D109,MAP!B:G,4,0)</f>
        <v>SG&amp;A</v>
      </c>
    </row>
    <row r="110" spans="1:8" x14ac:dyDescent="0.25">
      <c r="A110" t="s">
        <v>0</v>
      </c>
      <c r="B110" s="1">
        <v>42735</v>
      </c>
      <c r="C110" t="s">
        <v>1</v>
      </c>
      <c r="D110" t="s">
        <v>7</v>
      </c>
      <c r="E110">
        <v>410000000</v>
      </c>
      <c r="F110" s="2">
        <v>45986.11859953704</v>
      </c>
      <c r="G110" t="str">
        <f>VLOOKUP(D110,MAP!B:C,2,0)</f>
        <v>Operating Expenses</v>
      </c>
      <c r="H110" t="str">
        <f>VLOOKUP(D110,MAP!B:G,4,0)</f>
        <v>SG&amp;A</v>
      </c>
    </row>
    <row r="111" spans="1:8" x14ac:dyDescent="0.25">
      <c r="A111" t="s">
        <v>0</v>
      </c>
      <c r="B111" s="1">
        <v>42369</v>
      </c>
      <c r="C111" t="s">
        <v>1</v>
      </c>
      <c r="D111" t="s">
        <v>7</v>
      </c>
      <c r="E111">
        <v>377000000</v>
      </c>
      <c r="F111" s="2">
        <v>45986.11859953704</v>
      </c>
      <c r="G111" t="str">
        <f>VLOOKUP(D111,MAP!B:C,2,0)</f>
        <v>Operating Expenses</v>
      </c>
      <c r="H111" t="str">
        <f>VLOOKUP(D111,MAP!B:G,4,0)</f>
        <v>SG&amp;A</v>
      </c>
    </row>
    <row r="112" spans="1:8" x14ac:dyDescent="0.25">
      <c r="A112" t="s">
        <v>0</v>
      </c>
      <c r="B112" s="1">
        <v>42004</v>
      </c>
      <c r="C112" t="s">
        <v>1</v>
      </c>
      <c r="D112" t="s">
        <v>7</v>
      </c>
      <c r="E112">
        <v>434000000</v>
      </c>
      <c r="F112" s="2">
        <v>45986.11859953704</v>
      </c>
      <c r="G112" t="str">
        <f>VLOOKUP(D112,MAP!B:C,2,0)</f>
        <v>Operating Expenses</v>
      </c>
      <c r="H112" t="str">
        <f>VLOOKUP(D112,MAP!B:G,4,0)</f>
        <v>SG&amp;A</v>
      </c>
    </row>
    <row r="113" spans="1:8" x14ac:dyDescent="0.25">
      <c r="A113" t="s">
        <v>0</v>
      </c>
      <c r="B113" s="1">
        <v>41639</v>
      </c>
      <c r="C113" t="s">
        <v>1</v>
      </c>
      <c r="D113" t="s">
        <v>7</v>
      </c>
      <c r="E113">
        <v>503000000</v>
      </c>
      <c r="F113" s="2">
        <v>45986.11859953704</v>
      </c>
      <c r="G113" t="str">
        <f>VLOOKUP(D113,MAP!B:C,2,0)</f>
        <v>Operating Expenses</v>
      </c>
      <c r="H113" t="str">
        <f>VLOOKUP(D113,MAP!B:G,4,0)</f>
        <v>SG&amp;A</v>
      </c>
    </row>
    <row r="114" spans="1:8" x14ac:dyDescent="0.25">
      <c r="A114" t="s">
        <v>0</v>
      </c>
      <c r="B114" s="1">
        <v>41274</v>
      </c>
      <c r="C114" t="s">
        <v>1</v>
      </c>
      <c r="D114" t="s">
        <v>7</v>
      </c>
      <c r="E114">
        <v>531000000</v>
      </c>
      <c r="F114" s="2">
        <v>45986.11859953704</v>
      </c>
      <c r="G114" t="str">
        <f>VLOOKUP(D114,MAP!B:C,2,0)</f>
        <v>Operating Expenses</v>
      </c>
      <c r="H114" t="str">
        <f>VLOOKUP(D114,MAP!B:G,4,0)</f>
        <v>SG&amp;A</v>
      </c>
    </row>
    <row r="115" spans="1:8" x14ac:dyDescent="0.25">
      <c r="A115" t="s">
        <v>0</v>
      </c>
      <c r="B115" s="1">
        <v>40908</v>
      </c>
      <c r="C115" t="s">
        <v>1</v>
      </c>
      <c r="D115" t="s">
        <v>7</v>
      </c>
      <c r="E115">
        <v>459000000</v>
      </c>
      <c r="F115" s="2">
        <v>45986.11859953704</v>
      </c>
      <c r="G115" t="str">
        <f>VLOOKUP(D115,MAP!B:C,2,0)</f>
        <v>Operating Expenses</v>
      </c>
      <c r="H115" t="str">
        <f>VLOOKUP(D115,MAP!B:G,4,0)</f>
        <v>SG&amp;A</v>
      </c>
    </row>
    <row r="116" spans="1:8" x14ac:dyDescent="0.25">
      <c r="A116" t="s">
        <v>0</v>
      </c>
      <c r="B116" s="1">
        <v>40543</v>
      </c>
      <c r="C116" t="s">
        <v>1</v>
      </c>
      <c r="D116" t="s">
        <v>7</v>
      </c>
      <c r="E116">
        <v>380000000</v>
      </c>
      <c r="F116" s="2">
        <v>45986.11859953704</v>
      </c>
      <c r="G116" t="str">
        <f>VLOOKUP(D116,MAP!B:C,2,0)</f>
        <v>Operating Expenses</v>
      </c>
      <c r="H116" t="str">
        <f>VLOOKUP(D116,MAP!B:G,4,0)</f>
        <v>SG&amp;A</v>
      </c>
    </row>
    <row r="117" spans="1:8" x14ac:dyDescent="0.25">
      <c r="A117" t="s">
        <v>0</v>
      </c>
      <c r="B117" s="1">
        <v>40178</v>
      </c>
      <c r="C117" t="s">
        <v>1</v>
      </c>
      <c r="D117" t="s">
        <v>7</v>
      </c>
      <c r="E117">
        <v>343883000</v>
      </c>
      <c r="F117" s="2">
        <v>45986.11859953704</v>
      </c>
      <c r="G117" t="str">
        <f>VLOOKUP(D117,MAP!B:C,2,0)</f>
        <v>Operating Expenses</v>
      </c>
      <c r="H117" t="str">
        <f>VLOOKUP(D117,MAP!B:G,4,0)</f>
        <v>SG&amp;A</v>
      </c>
    </row>
    <row r="118" spans="1:8" x14ac:dyDescent="0.25">
      <c r="A118" t="s">
        <v>0</v>
      </c>
      <c r="B118" s="1">
        <v>39813</v>
      </c>
      <c r="C118" t="s">
        <v>1</v>
      </c>
      <c r="D118" t="s">
        <v>7</v>
      </c>
      <c r="E118">
        <v>288794000</v>
      </c>
      <c r="F118" s="2">
        <v>45986.11859953704</v>
      </c>
      <c r="G118" t="str">
        <f>VLOOKUP(D118,MAP!B:C,2,0)</f>
        <v>Operating Expenses</v>
      </c>
      <c r="H118" t="str">
        <f>VLOOKUP(D118,MAP!B:G,4,0)</f>
        <v>SG&amp;A</v>
      </c>
    </row>
    <row r="119" spans="1:8" x14ac:dyDescent="0.25">
      <c r="A119" t="s">
        <v>0</v>
      </c>
      <c r="B119" s="1">
        <v>39447</v>
      </c>
      <c r="C119" t="s">
        <v>1</v>
      </c>
      <c r="D119" t="s">
        <v>7</v>
      </c>
      <c r="E119">
        <v>275065000</v>
      </c>
      <c r="F119" s="2">
        <v>45986.11859953704</v>
      </c>
      <c r="G119" t="str">
        <f>VLOOKUP(D119,MAP!B:C,2,0)</f>
        <v>Operating Expenses</v>
      </c>
      <c r="H119" t="str">
        <f>VLOOKUP(D119,MAP!B:G,4,0)</f>
        <v>SG&amp;A</v>
      </c>
    </row>
    <row r="120" spans="1:8" x14ac:dyDescent="0.25">
      <c r="A120" t="s">
        <v>0</v>
      </c>
      <c r="B120" s="1">
        <v>39082</v>
      </c>
      <c r="C120" t="s">
        <v>1</v>
      </c>
      <c r="D120" t="s">
        <v>7</v>
      </c>
      <c r="E120">
        <v>211334000</v>
      </c>
      <c r="F120" s="2">
        <v>45986.11859953704</v>
      </c>
      <c r="G120" t="str">
        <f>VLOOKUP(D120,MAP!B:C,2,0)</f>
        <v>Operating Expenses</v>
      </c>
      <c r="H120" t="str">
        <f>VLOOKUP(D120,MAP!B:G,4,0)</f>
        <v>SG&amp;A</v>
      </c>
    </row>
    <row r="121" spans="1:8" x14ac:dyDescent="0.25">
      <c r="A121" t="s">
        <v>0</v>
      </c>
      <c r="B121" s="1">
        <v>38717</v>
      </c>
      <c r="C121" t="s">
        <v>1</v>
      </c>
      <c r="D121" t="s">
        <v>7</v>
      </c>
      <c r="E121">
        <v>198272000</v>
      </c>
      <c r="F121" s="2">
        <v>45986.11859953704</v>
      </c>
      <c r="G121" t="str">
        <f>VLOOKUP(D121,MAP!B:C,2,0)</f>
        <v>Operating Expenses</v>
      </c>
      <c r="H121" t="str">
        <f>VLOOKUP(D121,MAP!B:G,4,0)</f>
        <v>SG&amp;A</v>
      </c>
    </row>
    <row r="122" spans="1:8" x14ac:dyDescent="0.25">
      <c r="A122" t="s">
        <v>0</v>
      </c>
      <c r="B122" s="1">
        <v>45657</v>
      </c>
      <c r="C122" t="s">
        <v>1</v>
      </c>
      <c r="D122" t="s">
        <v>8</v>
      </c>
      <c r="F122" s="2">
        <v>45986.11859953704</v>
      </c>
      <c r="G122" t="str">
        <f>VLOOKUP(D122,MAP!B:C,2,0)</f>
        <v>Operating Expenses</v>
      </c>
      <c r="H122" t="str">
        <f>VLOOKUP(D122,MAP!B:G,4,0)</f>
        <v>R&amp;D</v>
      </c>
    </row>
    <row r="123" spans="1:8" x14ac:dyDescent="0.25">
      <c r="A123" t="s">
        <v>0</v>
      </c>
      <c r="B123" s="1">
        <v>45291</v>
      </c>
      <c r="C123" t="s">
        <v>1</v>
      </c>
      <c r="D123" t="s">
        <v>8</v>
      </c>
      <c r="F123" s="2">
        <v>45986.11859953704</v>
      </c>
      <c r="G123" t="str">
        <f>VLOOKUP(D123,MAP!B:C,2,0)</f>
        <v>Operating Expenses</v>
      </c>
      <c r="H123" t="str">
        <f>VLOOKUP(D123,MAP!B:G,4,0)</f>
        <v>R&amp;D</v>
      </c>
    </row>
    <row r="124" spans="1:8" x14ac:dyDescent="0.25">
      <c r="A124" t="s">
        <v>0</v>
      </c>
      <c r="B124" s="1">
        <v>44926</v>
      </c>
      <c r="C124" t="s">
        <v>1</v>
      </c>
      <c r="D124" t="s">
        <v>8</v>
      </c>
      <c r="F124" s="2">
        <v>45986.11859953704</v>
      </c>
      <c r="G124" t="str">
        <f>VLOOKUP(D124,MAP!B:C,2,0)</f>
        <v>Operating Expenses</v>
      </c>
      <c r="H124" t="str">
        <f>VLOOKUP(D124,MAP!B:G,4,0)</f>
        <v>R&amp;D</v>
      </c>
    </row>
    <row r="125" spans="1:8" x14ac:dyDescent="0.25">
      <c r="A125" t="s">
        <v>0</v>
      </c>
      <c r="B125" s="1">
        <v>44561</v>
      </c>
      <c r="C125" t="s">
        <v>1</v>
      </c>
      <c r="D125" t="s">
        <v>8</v>
      </c>
      <c r="F125" s="2">
        <v>45986.11859953704</v>
      </c>
      <c r="G125" t="str">
        <f>VLOOKUP(D125,MAP!B:C,2,0)</f>
        <v>Operating Expenses</v>
      </c>
      <c r="H125" t="str">
        <f>VLOOKUP(D125,MAP!B:G,4,0)</f>
        <v>R&amp;D</v>
      </c>
    </row>
    <row r="126" spans="1:8" x14ac:dyDescent="0.25">
      <c r="A126" t="s">
        <v>0</v>
      </c>
      <c r="B126" s="1">
        <v>44196</v>
      </c>
      <c r="C126" t="s">
        <v>1</v>
      </c>
      <c r="D126" t="s">
        <v>8</v>
      </c>
      <c r="F126" s="2">
        <v>45986.11859953704</v>
      </c>
      <c r="G126" t="str">
        <f>VLOOKUP(D126,MAP!B:C,2,0)</f>
        <v>Operating Expenses</v>
      </c>
      <c r="H126" t="str">
        <f>VLOOKUP(D126,MAP!B:G,4,0)</f>
        <v>R&amp;D</v>
      </c>
    </row>
    <row r="127" spans="1:8" x14ac:dyDescent="0.25">
      <c r="A127" t="s">
        <v>0</v>
      </c>
      <c r="B127" s="1">
        <v>43830</v>
      </c>
      <c r="C127" t="s">
        <v>1</v>
      </c>
      <c r="D127" t="s">
        <v>8</v>
      </c>
      <c r="F127" s="2">
        <v>45986.11859953704</v>
      </c>
      <c r="G127" t="str">
        <f>VLOOKUP(D127,MAP!B:C,2,0)</f>
        <v>Operating Expenses</v>
      </c>
      <c r="H127" t="str">
        <f>VLOOKUP(D127,MAP!B:G,4,0)</f>
        <v>R&amp;D</v>
      </c>
    </row>
    <row r="128" spans="1:8" x14ac:dyDescent="0.25">
      <c r="A128" t="s">
        <v>0</v>
      </c>
      <c r="B128" s="1">
        <v>43465</v>
      </c>
      <c r="C128" t="s">
        <v>1</v>
      </c>
      <c r="D128" t="s">
        <v>8</v>
      </c>
      <c r="E128">
        <v>0</v>
      </c>
      <c r="F128" s="2">
        <v>45986.11859953704</v>
      </c>
      <c r="G128" t="str">
        <f>VLOOKUP(D128,MAP!B:C,2,0)</f>
        <v>Operating Expenses</v>
      </c>
      <c r="H128" t="str">
        <f>VLOOKUP(D128,MAP!B:G,4,0)</f>
        <v>R&amp;D</v>
      </c>
    </row>
    <row r="129" spans="1:8" x14ac:dyDescent="0.25">
      <c r="A129" t="s">
        <v>0</v>
      </c>
      <c r="B129" s="1">
        <v>43100</v>
      </c>
      <c r="C129" t="s">
        <v>1</v>
      </c>
      <c r="D129" t="s">
        <v>8</v>
      </c>
      <c r="E129">
        <v>0</v>
      </c>
      <c r="F129" s="2">
        <v>45986.11859953704</v>
      </c>
      <c r="G129" t="str">
        <f>VLOOKUP(D129,MAP!B:C,2,0)</f>
        <v>Operating Expenses</v>
      </c>
      <c r="H129" t="str">
        <f>VLOOKUP(D129,MAP!B:G,4,0)</f>
        <v>R&amp;D</v>
      </c>
    </row>
    <row r="130" spans="1:8" x14ac:dyDescent="0.25">
      <c r="A130" t="s">
        <v>0</v>
      </c>
      <c r="B130" s="1">
        <v>42735</v>
      </c>
      <c r="C130" t="s">
        <v>1</v>
      </c>
      <c r="D130" t="s">
        <v>8</v>
      </c>
      <c r="E130">
        <v>0</v>
      </c>
      <c r="F130" s="2">
        <v>45986.11859953704</v>
      </c>
      <c r="G130" t="str">
        <f>VLOOKUP(D130,MAP!B:C,2,0)</f>
        <v>Operating Expenses</v>
      </c>
      <c r="H130" t="str">
        <f>VLOOKUP(D130,MAP!B:G,4,0)</f>
        <v>R&amp;D</v>
      </c>
    </row>
    <row r="131" spans="1:8" x14ac:dyDescent="0.25">
      <c r="A131" t="s">
        <v>0</v>
      </c>
      <c r="B131" s="1">
        <v>42369</v>
      </c>
      <c r="C131" t="s">
        <v>1</v>
      </c>
      <c r="D131" t="s">
        <v>8</v>
      </c>
      <c r="E131">
        <v>0</v>
      </c>
      <c r="F131" s="2">
        <v>45986.11859953704</v>
      </c>
      <c r="G131" t="str">
        <f>VLOOKUP(D131,MAP!B:C,2,0)</f>
        <v>Operating Expenses</v>
      </c>
      <c r="H131" t="str">
        <f>VLOOKUP(D131,MAP!B:G,4,0)</f>
        <v>R&amp;D</v>
      </c>
    </row>
    <row r="132" spans="1:8" x14ac:dyDescent="0.25">
      <c r="A132" t="s">
        <v>0</v>
      </c>
      <c r="B132" s="1">
        <v>42004</v>
      </c>
      <c r="C132" t="s">
        <v>1</v>
      </c>
      <c r="D132" t="s">
        <v>8</v>
      </c>
      <c r="E132">
        <v>0</v>
      </c>
      <c r="F132" s="2">
        <v>45986.11859953704</v>
      </c>
      <c r="G132" t="str">
        <f>VLOOKUP(D132,MAP!B:C,2,0)</f>
        <v>Operating Expenses</v>
      </c>
      <c r="H132" t="str">
        <f>VLOOKUP(D132,MAP!B:G,4,0)</f>
        <v>R&amp;D</v>
      </c>
    </row>
    <row r="133" spans="1:8" x14ac:dyDescent="0.25">
      <c r="A133" t="s">
        <v>0</v>
      </c>
      <c r="B133" s="1">
        <v>41639</v>
      </c>
      <c r="C133" t="s">
        <v>1</v>
      </c>
      <c r="D133" t="s">
        <v>8</v>
      </c>
      <c r="E133">
        <v>0</v>
      </c>
      <c r="F133" s="2">
        <v>45986.11859953704</v>
      </c>
      <c r="G133" t="str">
        <f>VLOOKUP(D133,MAP!B:C,2,0)</f>
        <v>Operating Expenses</v>
      </c>
      <c r="H133" t="str">
        <f>VLOOKUP(D133,MAP!B:G,4,0)</f>
        <v>R&amp;D</v>
      </c>
    </row>
    <row r="134" spans="1:8" x14ac:dyDescent="0.25">
      <c r="A134" t="s">
        <v>0</v>
      </c>
      <c r="B134" s="1">
        <v>41274</v>
      </c>
      <c r="C134" t="s">
        <v>1</v>
      </c>
      <c r="D134" t="s">
        <v>8</v>
      </c>
      <c r="E134">
        <v>0</v>
      </c>
      <c r="F134" s="2">
        <v>45986.11859953704</v>
      </c>
      <c r="G134" t="str">
        <f>VLOOKUP(D134,MAP!B:C,2,0)</f>
        <v>Operating Expenses</v>
      </c>
      <c r="H134" t="str">
        <f>VLOOKUP(D134,MAP!B:G,4,0)</f>
        <v>R&amp;D</v>
      </c>
    </row>
    <row r="135" spans="1:8" x14ac:dyDescent="0.25">
      <c r="A135" t="s">
        <v>0</v>
      </c>
      <c r="B135" s="1">
        <v>40908</v>
      </c>
      <c r="C135" t="s">
        <v>1</v>
      </c>
      <c r="D135" t="s">
        <v>8</v>
      </c>
      <c r="E135">
        <v>0</v>
      </c>
      <c r="F135" s="2">
        <v>45986.11859953704</v>
      </c>
      <c r="G135" t="str">
        <f>VLOOKUP(D135,MAP!B:C,2,0)</f>
        <v>Operating Expenses</v>
      </c>
      <c r="H135" t="str">
        <f>VLOOKUP(D135,MAP!B:G,4,0)</f>
        <v>R&amp;D</v>
      </c>
    </row>
    <row r="136" spans="1:8" x14ac:dyDescent="0.25">
      <c r="A136" t="s">
        <v>0</v>
      </c>
      <c r="B136" s="1">
        <v>40543</v>
      </c>
      <c r="C136" t="s">
        <v>1</v>
      </c>
      <c r="D136" t="s">
        <v>8</v>
      </c>
      <c r="E136">
        <v>0</v>
      </c>
      <c r="F136" s="2">
        <v>45986.11859953704</v>
      </c>
      <c r="G136" t="str">
        <f>VLOOKUP(D136,MAP!B:C,2,0)</f>
        <v>Operating Expenses</v>
      </c>
      <c r="H136" t="str">
        <f>VLOOKUP(D136,MAP!B:G,4,0)</f>
        <v>R&amp;D</v>
      </c>
    </row>
    <row r="137" spans="1:8" x14ac:dyDescent="0.25">
      <c r="A137" t="s">
        <v>0</v>
      </c>
      <c r="B137" s="1">
        <v>40178</v>
      </c>
      <c r="C137" t="s">
        <v>1</v>
      </c>
      <c r="D137" t="s">
        <v>8</v>
      </c>
      <c r="E137">
        <v>0</v>
      </c>
      <c r="F137" s="2">
        <v>45986.11859953704</v>
      </c>
      <c r="G137" t="str">
        <f>VLOOKUP(D137,MAP!B:C,2,0)</f>
        <v>Operating Expenses</v>
      </c>
      <c r="H137" t="str">
        <f>VLOOKUP(D137,MAP!B:G,4,0)</f>
        <v>R&amp;D</v>
      </c>
    </row>
    <row r="138" spans="1:8" x14ac:dyDescent="0.25">
      <c r="A138" t="s">
        <v>0</v>
      </c>
      <c r="B138" s="1">
        <v>39813</v>
      </c>
      <c r="C138" t="s">
        <v>1</v>
      </c>
      <c r="D138" t="s">
        <v>8</v>
      </c>
      <c r="F138" s="2">
        <v>45986.11859953704</v>
      </c>
      <c r="G138" t="str">
        <f>VLOOKUP(D138,MAP!B:C,2,0)</f>
        <v>Operating Expenses</v>
      </c>
      <c r="H138" t="str">
        <f>VLOOKUP(D138,MAP!B:G,4,0)</f>
        <v>R&amp;D</v>
      </c>
    </row>
    <row r="139" spans="1:8" x14ac:dyDescent="0.25">
      <c r="A139" t="s">
        <v>0</v>
      </c>
      <c r="B139" s="1">
        <v>39447</v>
      </c>
      <c r="C139" t="s">
        <v>1</v>
      </c>
      <c r="D139" t="s">
        <v>8</v>
      </c>
      <c r="F139" s="2">
        <v>45986.11859953704</v>
      </c>
      <c r="G139" t="str">
        <f>VLOOKUP(D139,MAP!B:C,2,0)</f>
        <v>Operating Expenses</v>
      </c>
      <c r="H139" t="str">
        <f>VLOOKUP(D139,MAP!B:G,4,0)</f>
        <v>R&amp;D</v>
      </c>
    </row>
    <row r="140" spans="1:8" x14ac:dyDescent="0.25">
      <c r="A140" t="s">
        <v>0</v>
      </c>
      <c r="B140" s="1">
        <v>39082</v>
      </c>
      <c r="C140" t="s">
        <v>1</v>
      </c>
      <c r="D140" t="s">
        <v>8</v>
      </c>
      <c r="F140" s="2">
        <v>45986.11859953704</v>
      </c>
      <c r="G140" t="str">
        <f>VLOOKUP(D140,MAP!B:C,2,0)</f>
        <v>Operating Expenses</v>
      </c>
      <c r="H140" t="str">
        <f>VLOOKUP(D140,MAP!B:G,4,0)</f>
        <v>R&amp;D</v>
      </c>
    </row>
    <row r="141" spans="1:8" x14ac:dyDescent="0.25">
      <c r="A141" t="s">
        <v>0</v>
      </c>
      <c r="B141" s="1">
        <v>38717</v>
      </c>
      <c r="C141" t="s">
        <v>1</v>
      </c>
      <c r="D141" t="s">
        <v>8</v>
      </c>
      <c r="F141" s="2">
        <v>45986.11859953704</v>
      </c>
      <c r="G141" t="str">
        <f>VLOOKUP(D141,MAP!B:C,2,0)</f>
        <v>Operating Expenses</v>
      </c>
      <c r="H141" t="str">
        <f>VLOOKUP(D141,MAP!B:G,4,0)</f>
        <v>R&amp;D</v>
      </c>
    </row>
    <row r="142" spans="1:8" x14ac:dyDescent="0.25">
      <c r="A142" t="s">
        <v>0</v>
      </c>
      <c r="B142" s="1">
        <v>45657</v>
      </c>
      <c r="C142" t="s">
        <v>1</v>
      </c>
      <c r="D142" t="s">
        <v>9</v>
      </c>
      <c r="E142">
        <v>1103000000</v>
      </c>
      <c r="F142" s="2">
        <v>45986.11859953704</v>
      </c>
      <c r="G142" t="str">
        <f>VLOOKUP(D142,MAP!B:C,2,0)</f>
        <v>Operating Expenses</v>
      </c>
      <c r="H142" t="str">
        <f>VLOOKUP(D142,MAP!B:G,4,0)</f>
        <v>OPEX</v>
      </c>
    </row>
    <row r="143" spans="1:8" x14ac:dyDescent="0.25">
      <c r="A143" t="s">
        <v>0</v>
      </c>
      <c r="B143" s="1">
        <v>45291</v>
      </c>
      <c r="C143" t="s">
        <v>1</v>
      </c>
      <c r="D143" t="s">
        <v>9</v>
      </c>
      <c r="E143">
        <v>869000000</v>
      </c>
      <c r="F143" s="2">
        <v>45986.11859953704</v>
      </c>
      <c r="G143" t="str">
        <f>VLOOKUP(D143,MAP!B:C,2,0)</f>
        <v>Operating Expenses</v>
      </c>
      <c r="H143" t="str">
        <f>VLOOKUP(D143,MAP!B:G,4,0)</f>
        <v>OPEX</v>
      </c>
    </row>
    <row r="144" spans="1:8" x14ac:dyDescent="0.25">
      <c r="A144" t="s">
        <v>0</v>
      </c>
      <c r="B144" s="1">
        <v>44926</v>
      </c>
      <c r="C144" t="s">
        <v>1</v>
      </c>
      <c r="D144" t="s">
        <v>9</v>
      </c>
      <c r="E144">
        <v>1173000000</v>
      </c>
      <c r="F144" s="2">
        <v>45986.11859953704</v>
      </c>
      <c r="G144" t="str">
        <f>VLOOKUP(D144,MAP!B:C,2,0)</f>
        <v>Operating Expenses</v>
      </c>
      <c r="H144" t="str">
        <f>VLOOKUP(D144,MAP!B:G,4,0)</f>
        <v>OPEX</v>
      </c>
    </row>
    <row r="145" spans="1:8" x14ac:dyDescent="0.25">
      <c r="A145" t="s">
        <v>0</v>
      </c>
      <c r="B145" s="1">
        <v>44561</v>
      </c>
      <c r="C145" t="s">
        <v>1</v>
      </c>
      <c r="D145" t="s">
        <v>9</v>
      </c>
      <c r="E145">
        <v>848000000</v>
      </c>
      <c r="F145" s="2">
        <v>45986.11859953704</v>
      </c>
      <c r="G145" t="str">
        <f>VLOOKUP(D145,MAP!B:C,2,0)</f>
        <v>Operating Expenses</v>
      </c>
      <c r="H145" t="str">
        <f>VLOOKUP(D145,MAP!B:G,4,0)</f>
        <v>OPEX</v>
      </c>
    </row>
    <row r="146" spans="1:8" x14ac:dyDescent="0.25">
      <c r="A146" t="s">
        <v>0</v>
      </c>
      <c r="B146" s="1">
        <v>44196</v>
      </c>
      <c r="C146" t="s">
        <v>1</v>
      </c>
      <c r="D146" t="s">
        <v>9</v>
      </c>
      <c r="E146">
        <v>732000000</v>
      </c>
      <c r="F146" s="2">
        <v>45986.11859953704</v>
      </c>
      <c r="G146" t="str">
        <f>VLOOKUP(D146,MAP!B:C,2,0)</f>
        <v>Operating Expenses</v>
      </c>
      <c r="H146" t="str">
        <f>VLOOKUP(D146,MAP!B:G,4,0)</f>
        <v>OPEX</v>
      </c>
    </row>
    <row r="147" spans="1:8" x14ac:dyDescent="0.25">
      <c r="A147" t="s">
        <v>0</v>
      </c>
      <c r="B147" s="1">
        <v>43830</v>
      </c>
      <c r="C147" t="s">
        <v>1</v>
      </c>
      <c r="D147" t="s">
        <v>9</v>
      </c>
      <c r="E147">
        <v>1471000000</v>
      </c>
      <c r="F147" s="2">
        <v>45986.11859953704</v>
      </c>
      <c r="G147" t="str">
        <f>VLOOKUP(D147,MAP!B:C,2,0)</f>
        <v>Operating Expenses</v>
      </c>
      <c r="H147" t="str">
        <f>VLOOKUP(D147,MAP!B:G,4,0)</f>
        <v>OPEX</v>
      </c>
    </row>
    <row r="148" spans="1:8" x14ac:dyDescent="0.25">
      <c r="A148" t="s">
        <v>0</v>
      </c>
      <c r="B148" s="1">
        <v>43465</v>
      </c>
      <c r="C148" t="s">
        <v>1</v>
      </c>
      <c r="D148" t="s">
        <v>9</v>
      </c>
      <c r="E148">
        <v>1187000000</v>
      </c>
      <c r="F148" s="2">
        <v>45986.11859953704</v>
      </c>
      <c r="G148" t="str">
        <f>VLOOKUP(D148,MAP!B:C,2,0)</f>
        <v>Operating Expenses</v>
      </c>
      <c r="H148" t="str">
        <f>VLOOKUP(D148,MAP!B:G,4,0)</f>
        <v>OPEX</v>
      </c>
    </row>
    <row r="149" spans="1:8" x14ac:dyDescent="0.25">
      <c r="A149" t="s">
        <v>0</v>
      </c>
      <c r="B149" s="1">
        <v>43100</v>
      </c>
      <c r="C149" t="s">
        <v>1</v>
      </c>
      <c r="D149" t="s">
        <v>9</v>
      </c>
      <c r="E149">
        <v>1181000000</v>
      </c>
      <c r="F149" s="2">
        <v>45986.11859953704</v>
      </c>
      <c r="G149" t="str">
        <f>VLOOKUP(D149,MAP!B:C,2,0)</f>
        <v>Operating Expenses</v>
      </c>
      <c r="H149" t="str">
        <f>VLOOKUP(D149,MAP!B:G,4,0)</f>
        <v>OPEX</v>
      </c>
    </row>
    <row r="150" spans="1:8" x14ac:dyDescent="0.25">
      <c r="A150" t="s">
        <v>0</v>
      </c>
      <c r="B150" s="1">
        <v>42735</v>
      </c>
      <c r="C150" t="s">
        <v>1</v>
      </c>
      <c r="D150" t="s">
        <v>9</v>
      </c>
      <c r="E150">
        <v>1199000000</v>
      </c>
      <c r="F150" s="2">
        <v>45986.11859953704</v>
      </c>
      <c r="G150" t="str">
        <f>VLOOKUP(D150,MAP!B:C,2,0)</f>
        <v>Operating Expenses</v>
      </c>
      <c r="H150" t="str">
        <f>VLOOKUP(D150,MAP!B:G,4,0)</f>
        <v>OPEX</v>
      </c>
    </row>
    <row r="151" spans="1:8" x14ac:dyDescent="0.25">
      <c r="A151" t="s">
        <v>0</v>
      </c>
      <c r="B151" s="1">
        <v>42369</v>
      </c>
      <c r="C151" t="s">
        <v>1</v>
      </c>
      <c r="D151" t="s">
        <v>9</v>
      </c>
      <c r="E151">
        <v>821000000</v>
      </c>
      <c r="F151" s="2">
        <v>45986.11859953704</v>
      </c>
      <c r="G151" t="str">
        <f>VLOOKUP(D151,MAP!B:C,2,0)</f>
        <v>Operating Expenses</v>
      </c>
      <c r="H151" t="str">
        <f>VLOOKUP(D151,MAP!B:G,4,0)</f>
        <v>OPEX</v>
      </c>
    </row>
    <row r="152" spans="1:8" x14ac:dyDescent="0.25">
      <c r="A152" t="s">
        <v>0</v>
      </c>
      <c r="B152" s="1">
        <v>42004</v>
      </c>
      <c r="C152" t="s">
        <v>1</v>
      </c>
      <c r="D152" t="s">
        <v>9</v>
      </c>
      <c r="E152">
        <v>1475000000</v>
      </c>
      <c r="F152" s="2">
        <v>45986.11859953704</v>
      </c>
      <c r="G152" t="str">
        <f>VLOOKUP(D152,MAP!B:C,2,0)</f>
        <v>Operating Expenses</v>
      </c>
      <c r="H152" t="str">
        <f>VLOOKUP(D152,MAP!B:G,4,0)</f>
        <v>OPEX</v>
      </c>
    </row>
    <row r="153" spans="1:8" x14ac:dyDescent="0.25">
      <c r="A153" t="s">
        <v>0</v>
      </c>
      <c r="B153" s="1">
        <v>41639</v>
      </c>
      <c r="C153" t="s">
        <v>1</v>
      </c>
      <c r="D153" t="s">
        <v>9</v>
      </c>
      <c r="E153">
        <v>1527000000</v>
      </c>
      <c r="F153" s="2">
        <v>45986.11859953704</v>
      </c>
      <c r="G153" t="str">
        <f>VLOOKUP(D153,MAP!B:C,2,0)</f>
        <v>Operating Expenses</v>
      </c>
      <c r="H153" t="str">
        <f>VLOOKUP(D153,MAP!B:G,4,0)</f>
        <v>OPEX</v>
      </c>
    </row>
    <row r="154" spans="1:8" x14ac:dyDescent="0.25">
      <c r="A154" t="s">
        <v>0</v>
      </c>
      <c r="B154" s="1">
        <v>41274</v>
      </c>
      <c r="C154" t="s">
        <v>1</v>
      </c>
      <c r="D154" t="s">
        <v>9</v>
      </c>
      <c r="E154">
        <v>1494000000</v>
      </c>
      <c r="F154" s="2">
        <v>45986.11859953704</v>
      </c>
      <c r="G154" t="str">
        <f>VLOOKUP(D154,MAP!B:C,2,0)</f>
        <v>Operating Expenses</v>
      </c>
      <c r="H154" t="str">
        <f>VLOOKUP(D154,MAP!B:G,4,0)</f>
        <v>OPEX</v>
      </c>
    </row>
    <row r="155" spans="1:8" x14ac:dyDescent="0.25">
      <c r="A155" t="s">
        <v>0</v>
      </c>
      <c r="B155" s="1">
        <v>40908</v>
      </c>
      <c r="C155" t="s">
        <v>1</v>
      </c>
      <c r="D155" t="s">
        <v>9</v>
      </c>
      <c r="E155">
        <v>1434000000</v>
      </c>
      <c r="F155" s="2">
        <v>45986.11859953704</v>
      </c>
      <c r="G155" t="str">
        <f>VLOOKUP(D155,MAP!B:C,2,0)</f>
        <v>Operating Expenses</v>
      </c>
      <c r="H155" t="str">
        <f>VLOOKUP(D155,MAP!B:G,4,0)</f>
        <v>OPEX</v>
      </c>
    </row>
    <row r="156" spans="1:8" x14ac:dyDescent="0.25">
      <c r="A156" t="s">
        <v>0</v>
      </c>
      <c r="B156" s="1">
        <v>40543</v>
      </c>
      <c r="C156" t="s">
        <v>1</v>
      </c>
      <c r="D156" t="s">
        <v>9</v>
      </c>
      <c r="E156">
        <v>1272000000</v>
      </c>
      <c r="F156" s="2">
        <v>45986.11859953704</v>
      </c>
      <c r="G156" t="str">
        <f>VLOOKUP(D156,MAP!B:C,2,0)</f>
        <v>Operating Expenses</v>
      </c>
      <c r="H156" t="str">
        <f>VLOOKUP(D156,MAP!B:G,4,0)</f>
        <v>OPEX</v>
      </c>
    </row>
    <row r="157" spans="1:8" x14ac:dyDescent="0.25">
      <c r="A157" t="s">
        <v>0</v>
      </c>
      <c r="B157" s="1">
        <v>40178</v>
      </c>
      <c r="C157" t="s">
        <v>1</v>
      </c>
      <c r="D157" t="s">
        <v>9</v>
      </c>
      <c r="E157">
        <v>7904000000</v>
      </c>
      <c r="F157" s="2">
        <v>45986.11859953704</v>
      </c>
      <c r="G157" t="str">
        <f>VLOOKUP(D157,MAP!B:C,2,0)</f>
        <v>Operating Expenses</v>
      </c>
      <c r="H157" t="str">
        <f>VLOOKUP(D157,MAP!B:G,4,0)</f>
        <v>OPEX</v>
      </c>
    </row>
    <row r="158" spans="1:8" x14ac:dyDescent="0.25">
      <c r="A158" t="s">
        <v>0</v>
      </c>
      <c r="B158" s="1">
        <v>39813</v>
      </c>
      <c r="C158" t="s">
        <v>1</v>
      </c>
      <c r="D158" t="s">
        <v>9</v>
      </c>
      <c r="E158">
        <v>9123859000</v>
      </c>
      <c r="F158" s="2">
        <v>45986.11859953704</v>
      </c>
      <c r="G158" t="str">
        <f>VLOOKUP(D158,MAP!B:C,2,0)</f>
        <v>Operating Expenses</v>
      </c>
      <c r="H158" t="str">
        <f>VLOOKUP(D158,MAP!B:G,4,0)</f>
        <v>OPEX</v>
      </c>
    </row>
    <row r="159" spans="1:8" x14ac:dyDescent="0.25">
      <c r="A159" t="s">
        <v>0</v>
      </c>
      <c r="B159" s="1">
        <v>39447</v>
      </c>
      <c r="C159" t="s">
        <v>1</v>
      </c>
      <c r="D159" t="s">
        <v>9</v>
      </c>
      <c r="E159">
        <v>3164838000</v>
      </c>
      <c r="F159" s="2">
        <v>45986.11859953704</v>
      </c>
      <c r="G159" t="str">
        <f>VLOOKUP(D159,MAP!B:C,2,0)</f>
        <v>Operating Expenses</v>
      </c>
      <c r="H159" t="str">
        <f>VLOOKUP(D159,MAP!B:G,4,0)</f>
        <v>OPEX</v>
      </c>
    </row>
    <row r="160" spans="1:8" x14ac:dyDescent="0.25">
      <c r="A160" t="s">
        <v>0</v>
      </c>
      <c r="B160" s="1">
        <v>39082</v>
      </c>
      <c r="C160" t="s">
        <v>1</v>
      </c>
      <c r="D160" t="s">
        <v>9</v>
      </c>
      <c r="E160">
        <v>2306128000</v>
      </c>
      <c r="F160" s="2">
        <v>45986.11859953704</v>
      </c>
      <c r="G160" t="str">
        <f>VLOOKUP(D160,MAP!B:C,2,0)</f>
        <v>Operating Expenses</v>
      </c>
      <c r="H160" t="str">
        <f>VLOOKUP(D160,MAP!B:G,4,0)</f>
        <v>OPEX</v>
      </c>
    </row>
    <row r="161" spans="1:8" x14ac:dyDescent="0.25">
      <c r="A161" t="s">
        <v>0</v>
      </c>
      <c r="B161" s="1">
        <v>38717</v>
      </c>
      <c r="C161" t="s">
        <v>1</v>
      </c>
      <c r="D161" t="s">
        <v>9</v>
      </c>
      <c r="E161">
        <v>2067212000</v>
      </c>
      <c r="F161" s="2">
        <v>45986.11859953704</v>
      </c>
      <c r="G161" t="str">
        <f>VLOOKUP(D161,MAP!B:C,2,0)</f>
        <v>Operating Expenses</v>
      </c>
      <c r="H161" t="str">
        <f>VLOOKUP(D161,MAP!B:G,4,0)</f>
        <v>OPEX</v>
      </c>
    </row>
    <row r="162" spans="1:8" x14ac:dyDescent="0.25">
      <c r="A162" t="s">
        <v>0</v>
      </c>
      <c r="B162" s="1">
        <v>45657</v>
      </c>
      <c r="C162" t="s">
        <v>1</v>
      </c>
      <c r="D162" t="s">
        <v>10</v>
      </c>
      <c r="F162" s="2">
        <v>45986.11859953704</v>
      </c>
      <c r="G162" t="str">
        <f>VLOOKUP(D162,MAP!B:C,2,0)</f>
        <v>Revenue</v>
      </c>
      <c r="H162" t="str">
        <f>VLOOKUP(D162,MAP!B:G,4,0)</f>
        <v>Investment income</v>
      </c>
    </row>
    <row r="163" spans="1:8" x14ac:dyDescent="0.25">
      <c r="A163" t="s">
        <v>0</v>
      </c>
      <c r="B163" s="1">
        <v>45291</v>
      </c>
      <c r="C163" t="s">
        <v>1</v>
      </c>
      <c r="D163" t="s">
        <v>10</v>
      </c>
      <c r="F163" s="2">
        <v>45986.11859953704</v>
      </c>
      <c r="G163" t="str">
        <f>VLOOKUP(D163,MAP!B:C,2,0)</f>
        <v>Revenue</v>
      </c>
      <c r="H163" t="str">
        <f>VLOOKUP(D163,MAP!B:G,4,0)</f>
        <v>Investment income</v>
      </c>
    </row>
    <row r="164" spans="1:8" x14ac:dyDescent="0.25">
      <c r="A164" t="s">
        <v>0</v>
      </c>
      <c r="B164" s="1">
        <v>44926</v>
      </c>
      <c r="C164" t="s">
        <v>1</v>
      </c>
      <c r="D164" t="s">
        <v>10</v>
      </c>
      <c r="F164" s="2">
        <v>45986.11859953704</v>
      </c>
      <c r="G164" t="str">
        <f>VLOOKUP(D164,MAP!B:C,2,0)</f>
        <v>Revenue</v>
      </c>
      <c r="H164" t="str">
        <f>VLOOKUP(D164,MAP!B:G,4,0)</f>
        <v>Investment income</v>
      </c>
    </row>
    <row r="165" spans="1:8" x14ac:dyDescent="0.25">
      <c r="A165" t="s">
        <v>0</v>
      </c>
      <c r="B165" s="1">
        <v>44561</v>
      </c>
      <c r="C165" t="s">
        <v>1</v>
      </c>
      <c r="D165" t="s">
        <v>10</v>
      </c>
      <c r="F165" s="2">
        <v>45986.11859953704</v>
      </c>
      <c r="G165" t="str">
        <f>VLOOKUP(D165,MAP!B:C,2,0)</f>
        <v>Revenue</v>
      </c>
      <c r="H165" t="str">
        <f>VLOOKUP(D165,MAP!B:G,4,0)</f>
        <v>Investment income</v>
      </c>
    </row>
    <row r="166" spans="1:8" x14ac:dyDescent="0.25">
      <c r="A166" t="s">
        <v>0</v>
      </c>
      <c r="B166" s="1">
        <v>44196</v>
      </c>
      <c r="C166" t="s">
        <v>1</v>
      </c>
      <c r="D166" t="s">
        <v>10</v>
      </c>
      <c r="F166" s="2">
        <v>45986.11859953704</v>
      </c>
      <c r="G166" t="str">
        <f>VLOOKUP(D166,MAP!B:C,2,0)</f>
        <v>Revenue</v>
      </c>
      <c r="H166" t="str">
        <f>VLOOKUP(D166,MAP!B:G,4,0)</f>
        <v>Investment income</v>
      </c>
    </row>
    <row r="167" spans="1:8" x14ac:dyDescent="0.25">
      <c r="A167" t="s">
        <v>0</v>
      </c>
      <c r="B167" s="1">
        <v>43830</v>
      </c>
      <c r="C167" t="s">
        <v>1</v>
      </c>
      <c r="D167" t="s">
        <v>10</v>
      </c>
      <c r="F167" s="2">
        <v>45986.11859953704</v>
      </c>
      <c r="G167" t="str">
        <f>VLOOKUP(D167,MAP!B:C,2,0)</f>
        <v>Revenue</v>
      </c>
      <c r="H167" t="str">
        <f>VLOOKUP(D167,MAP!B:G,4,0)</f>
        <v>Investment income</v>
      </c>
    </row>
    <row r="168" spans="1:8" x14ac:dyDescent="0.25">
      <c r="A168" t="s">
        <v>0</v>
      </c>
      <c r="B168" s="1">
        <v>43465</v>
      </c>
      <c r="C168" t="s">
        <v>1</v>
      </c>
      <c r="D168" t="s">
        <v>10</v>
      </c>
      <c r="F168" s="2">
        <v>45986.11859953704</v>
      </c>
      <c r="G168" t="str">
        <f>VLOOKUP(D168,MAP!B:C,2,0)</f>
        <v>Revenue</v>
      </c>
      <c r="H168" t="str">
        <f>VLOOKUP(D168,MAP!B:G,4,0)</f>
        <v>Investment income</v>
      </c>
    </row>
    <row r="169" spans="1:8" x14ac:dyDescent="0.25">
      <c r="A169" t="s">
        <v>0</v>
      </c>
      <c r="B169" s="1">
        <v>43100</v>
      </c>
      <c r="C169" t="s">
        <v>1</v>
      </c>
      <c r="D169" t="s">
        <v>10</v>
      </c>
      <c r="F169" s="2">
        <v>45986.11859953704</v>
      </c>
      <c r="G169" t="str">
        <f>VLOOKUP(D169,MAP!B:C,2,0)</f>
        <v>Revenue</v>
      </c>
      <c r="H169" t="str">
        <f>VLOOKUP(D169,MAP!B:G,4,0)</f>
        <v>Investment income</v>
      </c>
    </row>
    <row r="170" spans="1:8" x14ac:dyDescent="0.25">
      <c r="A170" t="s">
        <v>0</v>
      </c>
      <c r="B170" s="1">
        <v>42735</v>
      </c>
      <c r="C170" t="s">
        <v>1</v>
      </c>
      <c r="D170" t="s">
        <v>10</v>
      </c>
      <c r="F170" s="2">
        <v>45986.11859953704</v>
      </c>
      <c r="G170" t="str">
        <f>VLOOKUP(D170,MAP!B:C,2,0)</f>
        <v>Revenue</v>
      </c>
      <c r="H170" t="str">
        <f>VLOOKUP(D170,MAP!B:G,4,0)</f>
        <v>Investment income</v>
      </c>
    </row>
    <row r="171" spans="1:8" x14ac:dyDescent="0.25">
      <c r="A171" t="s">
        <v>0</v>
      </c>
      <c r="B171" s="1">
        <v>42369</v>
      </c>
      <c r="C171" t="s">
        <v>1</v>
      </c>
      <c r="D171" t="s">
        <v>10</v>
      </c>
      <c r="F171" s="2">
        <v>45986.11859953704</v>
      </c>
      <c r="G171" t="str">
        <f>VLOOKUP(D171,MAP!B:C,2,0)</f>
        <v>Revenue</v>
      </c>
      <c r="H171" t="str">
        <f>VLOOKUP(D171,MAP!B:G,4,0)</f>
        <v>Investment income</v>
      </c>
    </row>
    <row r="172" spans="1:8" x14ac:dyDescent="0.25">
      <c r="A172" t="s">
        <v>0</v>
      </c>
      <c r="B172" s="1">
        <v>42004</v>
      </c>
      <c r="C172" t="s">
        <v>1</v>
      </c>
      <c r="D172" t="s">
        <v>10</v>
      </c>
      <c r="F172" s="2">
        <v>45986.11859953704</v>
      </c>
      <c r="G172" t="str">
        <f>VLOOKUP(D172,MAP!B:C,2,0)</f>
        <v>Revenue</v>
      </c>
      <c r="H172" t="str">
        <f>VLOOKUP(D172,MAP!B:G,4,0)</f>
        <v>Investment income</v>
      </c>
    </row>
    <row r="173" spans="1:8" x14ac:dyDescent="0.25">
      <c r="A173" t="s">
        <v>0</v>
      </c>
      <c r="B173" s="1">
        <v>41639</v>
      </c>
      <c r="C173" t="s">
        <v>1</v>
      </c>
      <c r="D173" t="s">
        <v>10</v>
      </c>
      <c r="F173" s="2">
        <v>45986.11859953704</v>
      </c>
      <c r="G173" t="str">
        <f>VLOOKUP(D173,MAP!B:C,2,0)</f>
        <v>Revenue</v>
      </c>
      <c r="H173" t="str">
        <f>VLOOKUP(D173,MAP!B:G,4,0)</f>
        <v>Investment income</v>
      </c>
    </row>
    <row r="174" spans="1:8" x14ac:dyDescent="0.25">
      <c r="A174" t="s">
        <v>0</v>
      </c>
      <c r="B174" s="1">
        <v>41274</v>
      </c>
      <c r="C174" t="s">
        <v>1</v>
      </c>
      <c r="D174" t="s">
        <v>10</v>
      </c>
      <c r="F174" s="2">
        <v>45986.11859953704</v>
      </c>
      <c r="G174" t="str">
        <f>VLOOKUP(D174,MAP!B:C,2,0)</f>
        <v>Revenue</v>
      </c>
      <c r="H174" t="str">
        <f>VLOOKUP(D174,MAP!B:G,4,0)</f>
        <v>Investment income</v>
      </c>
    </row>
    <row r="175" spans="1:8" x14ac:dyDescent="0.25">
      <c r="A175" t="s">
        <v>0</v>
      </c>
      <c r="B175" s="1">
        <v>40908</v>
      </c>
      <c r="C175" t="s">
        <v>1</v>
      </c>
      <c r="D175" t="s">
        <v>10</v>
      </c>
      <c r="F175" s="2">
        <v>45986.11859953704</v>
      </c>
      <c r="G175" t="str">
        <f>VLOOKUP(D175,MAP!B:C,2,0)</f>
        <v>Revenue</v>
      </c>
      <c r="H175" t="str">
        <f>VLOOKUP(D175,MAP!B:G,4,0)</f>
        <v>Investment income</v>
      </c>
    </row>
    <row r="176" spans="1:8" x14ac:dyDescent="0.25">
      <c r="A176" t="s">
        <v>0</v>
      </c>
      <c r="B176" s="1">
        <v>40543</v>
      </c>
      <c r="C176" t="s">
        <v>1</v>
      </c>
      <c r="D176" t="s">
        <v>10</v>
      </c>
      <c r="F176" s="2">
        <v>45986.11859953704</v>
      </c>
      <c r="G176" t="str">
        <f>VLOOKUP(D176,MAP!B:C,2,0)</f>
        <v>Revenue</v>
      </c>
      <c r="H176" t="str">
        <f>VLOOKUP(D176,MAP!B:G,4,0)</f>
        <v>Investment income</v>
      </c>
    </row>
    <row r="177" spans="1:8" x14ac:dyDescent="0.25">
      <c r="A177" t="s">
        <v>0</v>
      </c>
      <c r="B177" s="1">
        <v>40178</v>
      </c>
      <c r="C177" t="s">
        <v>1</v>
      </c>
      <c r="D177" t="s">
        <v>10</v>
      </c>
      <c r="F177" s="2">
        <v>45986.11859953704</v>
      </c>
      <c r="G177" t="str">
        <f>VLOOKUP(D177,MAP!B:C,2,0)</f>
        <v>Revenue</v>
      </c>
      <c r="H177" t="str">
        <f>VLOOKUP(D177,MAP!B:G,4,0)</f>
        <v>Investment income</v>
      </c>
    </row>
    <row r="178" spans="1:8" x14ac:dyDescent="0.25">
      <c r="A178" t="s">
        <v>0</v>
      </c>
      <c r="B178" s="1">
        <v>39813</v>
      </c>
      <c r="C178" t="s">
        <v>1</v>
      </c>
      <c r="D178" t="s">
        <v>10</v>
      </c>
      <c r="F178" s="2">
        <v>45986.11859953704</v>
      </c>
      <c r="G178" t="str">
        <f>VLOOKUP(D178,MAP!B:C,2,0)</f>
        <v>Revenue</v>
      </c>
      <c r="H178" t="str">
        <f>VLOOKUP(D178,MAP!B:G,4,0)</f>
        <v>Investment income</v>
      </c>
    </row>
    <row r="179" spans="1:8" x14ac:dyDescent="0.25">
      <c r="A179" t="s">
        <v>0</v>
      </c>
      <c r="B179" s="1">
        <v>39447</v>
      </c>
      <c r="C179" t="s">
        <v>1</v>
      </c>
      <c r="D179" t="s">
        <v>10</v>
      </c>
      <c r="F179" s="2">
        <v>45986.11859953704</v>
      </c>
      <c r="G179" t="str">
        <f>VLOOKUP(D179,MAP!B:C,2,0)</f>
        <v>Revenue</v>
      </c>
      <c r="H179" t="str">
        <f>VLOOKUP(D179,MAP!B:G,4,0)</f>
        <v>Investment income</v>
      </c>
    </row>
    <row r="180" spans="1:8" x14ac:dyDescent="0.25">
      <c r="A180" t="s">
        <v>0</v>
      </c>
      <c r="B180" s="1">
        <v>39082</v>
      </c>
      <c r="C180" t="s">
        <v>1</v>
      </c>
      <c r="D180" t="s">
        <v>10</v>
      </c>
      <c r="F180" s="2">
        <v>45986.11859953704</v>
      </c>
      <c r="G180" t="str">
        <f>VLOOKUP(D180,MAP!B:C,2,0)</f>
        <v>Revenue</v>
      </c>
      <c r="H180" t="str">
        <f>VLOOKUP(D180,MAP!B:G,4,0)</f>
        <v>Investment income</v>
      </c>
    </row>
    <row r="181" spans="1:8" x14ac:dyDescent="0.25">
      <c r="A181" t="s">
        <v>0</v>
      </c>
      <c r="B181" s="1">
        <v>38717</v>
      </c>
      <c r="C181" t="s">
        <v>1</v>
      </c>
      <c r="D181" t="s">
        <v>10</v>
      </c>
      <c r="F181" s="2">
        <v>45986.11859953704</v>
      </c>
      <c r="G181" t="str">
        <f>VLOOKUP(D181,MAP!B:C,2,0)</f>
        <v>Revenue</v>
      </c>
      <c r="H181" t="str">
        <f>VLOOKUP(D181,MAP!B:G,4,0)</f>
        <v>Investment income</v>
      </c>
    </row>
    <row r="182" spans="1:8" x14ac:dyDescent="0.25">
      <c r="A182" t="s">
        <v>0</v>
      </c>
      <c r="B182" s="1">
        <v>45657</v>
      </c>
      <c r="C182" t="s">
        <v>1</v>
      </c>
      <c r="D182" t="s">
        <v>11</v>
      </c>
      <c r="E182">
        <v>-367000000</v>
      </c>
      <c r="F182" s="2">
        <v>45986.11859953704</v>
      </c>
      <c r="G182" t="str">
        <f>VLOOKUP(D182,MAP!B:C,2,0)</f>
        <v>Interest &amp; Other</v>
      </c>
      <c r="H182" t="str">
        <f>VLOOKUP(D182,MAP!B:G,4,0)</f>
        <v>Net Int. Income</v>
      </c>
    </row>
    <row r="183" spans="1:8" x14ac:dyDescent="0.25">
      <c r="A183" t="s">
        <v>0</v>
      </c>
      <c r="B183" s="1">
        <v>45291</v>
      </c>
      <c r="C183" t="s">
        <v>1</v>
      </c>
      <c r="D183" t="s">
        <v>11</v>
      </c>
      <c r="E183">
        <v>-321000000</v>
      </c>
      <c r="F183" s="2">
        <v>45986.11859953704</v>
      </c>
      <c r="G183" t="str">
        <f>VLOOKUP(D183,MAP!B:C,2,0)</f>
        <v>Interest &amp; Other</v>
      </c>
      <c r="H183" t="str">
        <f>VLOOKUP(D183,MAP!B:G,4,0)</f>
        <v>Net Int. Income</v>
      </c>
    </row>
    <row r="184" spans="1:8" x14ac:dyDescent="0.25">
      <c r="A184" t="s">
        <v>0</v>
      </c>
      <c r="B184" s="1">
        <v>44926</v>
      </c>
      <c r="C184" t="s">
        <v>1</v>
      </c>
      <c r="D184" t="s">
        <v>11</v>
      </c>
      <c r="E184">
        <v>-312000000</v>
      </c>
      <c r="F184" s="2">
        <v>45986.11859953704</v>
      </c>
      <c r="G184" t="str">
        <f>VLOOKUP(D184,MAP!B:C,2,0)</f>
        <v>Interest &amp; Other</v>
      </c>
      <c r="H184" t="str">
        <f>VLOOKUP(D184,MAP!B:G,4,0)</f>
        <v>Net Int. Income</v>
      </c>
    </row>
    <row r="185" spans="1:8" x14ac:dyDescent="0.25">
      <c r="A185" t="s">
        <v>0</v>
      </c>
      <c r="B185" s="1">
        <v>44561</v>
      </c>
      <c r="C185" t="s">
        <v>1</v>
      </c>
      <c r="D185" t="s">
        <v>11</v>
      </c>
      <c r="E185">
        <v>-514000000</v>
      </c>
      <c r="F185" s="2">
        <v>45986.11859953704</v>
      </c>
      <c r="G185" t="str">
        <f>VLOOKUP(D185,MAP!B:C,2,0)</f>
        <v>Interest &amp; Other</v>
      </c>
      <c r="H185" t="str">
        <f>VLOOKUP(D185,MAP!B:G,4,0)</f>
        <v>Net Int. Income</v>
      </c>
    </row>
    <row r="186" spans="1:8" x14ac:dyDescent="0.25">
      <c r="A186" t="s">
        <v>0</v>
      </c>
      <c r="B186" s="1">
        <v>44196</v>
      </c>
      <c r="C186" t="s">
        <v>1</v>
      </c>
      <c r="D186" t="s">
        <v>11</v>
      </c>
      <c r="E186">
        <v>-427000000</v>
      </c>
      <c r="F186" s="2">
        <v>45986.11859953704</v>
      </c>
      <c r="G186" t="str">
        <f>VLOOKUP(D186,MAP!B:C,2,0)</f>
        <v>Interest &amp; Other</v>
      </c>
      <c r="H186" t="str">
        <f>VLOOKUP(D186,MAP!B:G,4,0)</f>
        <v>Net Int. Income</v>
      </c>
    </row>
    <row r="187" spans="1:8" x14ac:dyDescent="0.25">
      <c r="A187" t="s">
        <v>0</v>
      </c>
      <c r="B187" s="1">
        <v>43830</v>
      </c>
      <c r="C187" t="s">
        <v>1</v>
      </c>
      <c r="D187" t="s">
        <v>11</v>
      </c>
      <c r="E187">
        <v>-387000000</v>
      </c>
      <c r="F187" s="2">
        <v>45986.11859953704</v>
      </c>
      <c r="G187" t="str">
        <f>VLOOKUP(D187,MAP!B:C,2,0)</f>
        <v>Interest &amp; Other</v>
      </c>
      <c r="H187" t="str">
        <f>VLOOKUP(D187,MAP!B:G,4,0)</f>
        <v>Net Int. Income</v>
      </c>
    </row>
    <row r="188" spans="1:8" x14ac:dyDescent="0.25">
      <c r="A188" t="s">
        <v>0</v>
      </c>
      <c r="B188" s="1">
        <v>43465</v>
      </c>
      <c r="C188" t="s">
        <v>1</v>
      </c>
      <c r="D188" t="s">
        <v>11</v>
      </c>
      <c r="E188">
        <v>-384000000</v>
      </c>
      <c r="F188" s="2">
        <v>45986.11859953704</v>
      </c>
      <c r="G188" t="str">
        <f>VLOOKUP(D188,MAP!B:C,2,0)</f>
        <v>Interest &amp; Other</v>
      </c>
      <c r="H188" t="str">
        <f>VLOOKUP(D188,MAP!B:G,4,0)</f>
        <v>Net Int. Income</v>
      </c>
    </row>
    <row r="189" spans="1:8" x14ac:dyDescent="0.25">
      <c r="A189" t="s">
        <v>0</v>
      </c>
      <c r="B189" s="1">
        <v>43100</v>
      </c>
      <c r="C189" t="s">
        <v>1</v>
      </c>
      <c r="D189" t="s">
        <v>11</v>
      </c>
      <c r="E189">
        <v>-396000000</v>
      </c>
      <c r="F189" s="2">
        <v>45986.11859953704</v>
      </c>
      <c r="G189" t="str">
        <f>VLOOKUP(D189,MAP!B:C,2,0)</f>
        <v>Interest &amp; Other</v>
      </c>
      <c r="H189" t="str">
        <f>VLOOKUP(D189,MAP!B:G,4,0)</f>
        <v>Net Int. Income</v>
      </c>
    </row>
    <row r="190" spans="1:8" x14ac:dyDescent="0.25">
      <c r="A190" t="s">
        <v>0</v>
      </c>
      <c r="B190" s="1">
        <v>42735</v>
      </c>
      <c r="C190" t="s">
        <v>1</v>
      </c>
      <c r="D190" t="s">
        <v>11</v>
      </c>
      <c r="E190">
        <v>-416000000</v>
      </c>
      <c r="F190" s="2">
        <v>45986.11859953704</v>
      </c>
      <c r="G190" t="str">
        <f>VLOOKUP(D190,MAP!B:C,2,0)</f>
        <v>Interest &amp; Other</v>
      </c>
      <c r="H190" t="str">
        <f>VLOOKUP(D190,MAP!B:G,4,0)</f>
        <v>Net Int. Income</v>
      </c>
    </row>
    <row r="191" spans="1:8" x14ac:dyDescent="0.25">
      <c r="A191" t="s">
        <v>0</v>
      </c>
      <c r="B191" s="1">
        <v>42369</v>
      </c>
      <c r="C191" t="s">
        <v>1</v>
      </c>
      <c r="D191" t="s">
        <v>11</v>
      </c>
      <c r="F191" s="2">
        <v>45986.11859953704</v>
      </c>
      <c r="G191" t="str">
        <f>VLOOKUP(D191,MAP!B:C,2,0)</f>
        <v>Interest &amp; Other</v>
      </c>
      <c r="H191" t="str">
        <f>VLOOKUP(D191,MAP!B:G,4,0)</f>
        <v>Net Int. Income</v>
      </c>
    </row>
    <row r="192" spans="1:8" x14ac:dyDescent="0.25">
      <c r="A192" t="s">
        <v>0</v>
      </c>
      <c r="B192" s="1">
        <v>42004</v>
      </c>
      <c r="C192" t="s">
        <v>1</v>
      </c>
      <c r="D192" t="s">
        <v>11</v>
      </c>
      <c r="F192" s="2">
        <v>45986.11859953704</v>
      </c>
      <c r="G192" t="str">
        <f>VLOOKUP(D192,MAP!B:C,2,0)</f>
        <v>Interest &amp; Other</v>
      </c>
      <c r="H192" t="str">
        <f>VLOOKUP(D192,MAP!B:G,4,0)</f>
        <v>Net Int. Income</v>
      </c>
    </row>
    <row r="193" spans="1:8" x14ac:dyDescent="0.25">
      <c r="A193" t="s">
        <v>0</v>
      </c>
      <c r="B193" s="1">
        <v>41639</v>
      </c>
      <c r="C193" t="s">
        <v>1</v>
      </c>
      <c r="D193" t="s">
        <v>11</v>
      </c>
      <c r="F193" s="2">
        <v>45986.11859953704</v>
      </c>
      <c r="G193" t="str">
        <f>VLOOKUP(D193,MAP!B:C,2,0)</f>
        <v>Interest &amp; Other</v>
      </c>
      <c r="H193" t="str">
        <f>VLOOKUP(D193,MAP!B:G,4,0)</f>
        <v>Net Int. Income</v>
      </c>
    </row>
    <row r="194" spans="1:8" x14ac:dyDescent="0.25">
      <c r="A194" t="s">
        <v>0</v>
      </c>
      <c r="B194" s="1">
        <v>41274</v>
      </c>
      <c r="C194" t="s">
        <v>1</v>
      </c>
      <c r="D194" t="s">
        <v>11</v>
      </c>
      <c r="F194" s="2">
        <v>45986.11859953704</v>
      </c>
      <c r="G194" t="str">
        <f>VLOOKUP(D194,MAP!B:C,2,0)</f>
        <v>Interest &amp; Other</v>
      </c>
      <c r="H194" t="str">
        <f>VLOOKUP(D194,MAP!B:G,4,0)</f>
        <v>Net Int. Income</v>
      </c>
    </row>
    <row r="195" spans="1:8" x14ac:dyDescent="0.25">
      <c r="A195" t="s">
        <v>0</v>
      </c>
      <c r="B195" s="1">
        <v>40908</v>
      </c>
      <c r="C195" t="s">
        <v>1</v>
      </c>
      <c r="D195" t="s">
        <v>11</v>
      </c>
      <c r="F195" s="2">
        <v>45986.11859953704</v>
      </c>
      <c r="G195" t="str">
        <f>VLOOKUP(D195,MAP!B:C,2,0)</f>
        <v>Interest &amp; Other</v>
      </c>
      <c r="H195" t="str">
        <f>VLOOKUP(D195,MAP!B:G,4,0)</f>
        <v>Net Int. Income</v>
      </c>
    </row>
    <row r="196" spans="1:8" x14ac:dyDescent="0.25">
      <c r="A196" t="s">
        <v>0</v>
      </c>
      <c r="B196" s="1">
        <v>40543</v>
      </c>
      <c r="C196" t="s">
        <v>1</v>
      </c>
      <c r="D196" t="s">
        <v>11</v>
      </c>
      <c r="F196" s="2">
        <v>45986.11859953704</v>
      </c>
      <c r="G196" t="str">
        <f>VLOOKUP(D196,MAP!B:C,2,0)</f>
        <v>Interest &amp; Other</v>
      </c>
      <c r="H196" t="str">
        <f>VLOOKUP(D196,MAP!B:G,4,0)</f>
        <v>Net Int. Income</v>
      </c>
    </row>
    <row r="197" spans="1:8" x14ac:dyDescent="0.25">
      <c r="A197" t="s">
        <v>0</v>
      </c>
      <c r="B197" s="1">
        <v>40178</v>
      </c>
      <c r="C197" t="s">
        <v>1</v>
      </c>
      <c r="D197" t="s">
        <v>11</v>
      </c>
      <c r="F197" s="2">
        <v>45986.11859953704</v>
      </c>
      <c r="G197" t="str">
        <f>VLOOKUP(D197,MAP!B:C,2,0)</f>
        <v>Interest &amp; Other</v>
      </c>
      <c r="H197" t="str">
        <f>VLOOKUP(D197,MAP!B:G,4,0)</f>
        <v>Net Int. Income</v>
      </c>
    </row>
    <row r="198" spans="1:8" x14ac:dyDescent="0.25">
      <c r="A198" t="s">
        <v>0</v>
      </c>
      <c r="B198" s="1">
        <v>39813</v>
      </c>
      <c r="C198" t="s">
        <v>1</v>
      </c>
      <c r="D198" t="s">
        <v>11</v>
      </c>
      <c r="F198" s="2">
        <v>45986.11859953704</v>
      </c>
      <c r="G198" t="str">
        <f>VLOOKUP(D198,MAP!B:C,2,0)</f>
        <v>Interest &amp; Other</v>
      </c>
      <c r="H198" t="str">
        <f>VLOOKUP(D198,MAP!B:G,4,0)</f>
        <v>Net Int. Income</v>
      </c>
    </row>
    <row r="199" spans="1:8" x14ac:dyDescent="0.25">
      <c r="A199" t="s">
        <v>0</v>
      </c>
      <c r="B199" s="1">
        <v>39447</v>
      </c>
      <c r="C199" t="s">
        <v>1</v>
      </c>
      <c r="D199" t="s">
        <v>11</v>
      </c>
      <c r="F199" s="2">
        <v>45986.11859953704</v>
      </c>
      <c r="G199" t="str">
        <f>VLOOKUP(D199,MAP!B:C,2,0)</f>
        <v>Interest &amp; Other</v>
      </c>
      <c r="H199" t="str">
        <f>VLOOKUP(D199,MAP!B:G,4,0)</f>
        <v>Net Int. Income</v>
      </c>
    </row>
    <row r="200" spans="1:8" x14ac:dyDescent="0.25">
      <c r="A200" t="s">
        <v>0</v>
      </c>
      <c r="B200" s="1">
        <v>39082</v>
      </c>
      <c r="C200" t="s">
        <v>1</v>
      </c>
      <c r="D200" t="s">
        <v>11</v>
      </c>
      <c r="F200" s="2">
        <v>45986.11859953704</v>
      </c>
      <c r="G200" t="str">
        <f>VLOOKUP(D200,MAP!B:C,2,0)</f>
        <v>Interest &amp; Other</v>
      </c>
      <c r="H200" t="str">
        <f>VLOOKUP(D200,MAP!B:G,4,0)</f>
        <v>Net Int. Income</v>
      </c>
    </row>
    <row r="201" spans="1:8" x14ac:dyDescent="0.25">
      <c r="A201" t="s">
        <v>0</v>
      </c>
      <c r="B201" s="1">
        <v>38717</v>
      </c>
      <c r="C201" t="s">
        <v>1</v>
      </c>
      <c r="D201" t="s">
        <v>11</v>
      </c>
      <c r="F201" s="2">
        <v>45986.11859953704</v>
      </c>
      <c r="G201" t="str">
        <f>VLOOKUP(D201,MAP!B:C,2,0)</f>
        <v>Interest &amp; Other</v>
      </c>
      <c r="H201" t="str">
        <f>VLOOKUP(D201,MAP!B:G,4,0)</f>
        <v>Net Int. Income</v>
      </c>
    </row>
    <row r="202" spans="1:8" x14ac:dyDescent="0.25">
      <c r="A202" t="s">
        <v>0</v>
      </c>
      <c r="B202" s="1">
        <v>45657</v>
      </c>
      <c r="C202" t="s">
        <v>1</v>
      </c>
      <c r="D202" t="s">
        <v>12</v>
      </c>
      <c r="E202">
        <v>12000000</v>
      </c>
      <c r="F202" s="2">
        <v>45986.11859953704</v>
      </c>
      <c r="G202" t="str">
        <f>VLOOKUP(D202,MAP!B:C,2,0)</f>
        <v>Revenue</v>
      </c>
      <c r="H202" t="str">
        <f>VLOOKUP(D202,MAP!B:G,4,0)</f>
        <v>Investment income</v>
      </c>
    </row>
    <row r="203" spans="1:8" x14ac:dyDescent="0.25">
      <c r="A203" t="s">
        <v>0</v>
      </c>
      <c r="B203" s="1">
        <v>45291</v>
      </c>
      <c r="C203" t="s">
        <v>1</v>
      </c>
      <c r="D203" t="s">
        <v>12</v>
      </c>
      <c r="E203">
        <v>10000000</v>
      </c>
      <c r="F203" s="2">
        <v>45986.11859953704</v>
      </c>
      <c r="G203" t="str">
        <f>VLOOKUP(D203,MAP!B:C,2,0)</f>
        <v>Revenue</v>
      </c>
      <c r="H203" t="str">
        <f>VLOOKUP(D203,MAP!B:G,4,0)</f>
        <v>Investment income</v>
      </c>
    </row>
    <row r="204" spans="1:8" x14ac:dyDescent="0.25">
      <c r="A204" t="s">
        <v>0</v>
      </c>
      <c r="B204" s="1">
        <v>44926</v>
      </c>
      <c r="C204" t="s">
        <v>1</v>
      </c>
      <c r="D204" t="s">
        <v>12</v>
      </c>
      <c r="E204">
        <v>10000000</v>
      </c>
      <c r="F204" s="2">
        <v>45986.11859953704</v>
      </c>
      <c r="G204" t="str">
        <f>VLOOKUP(D204,MAP!B:C,2,0)</f>
        <v>Revenue</v>
      </c>
      <c r="H204" t="str">
        <f>VLOOKUP(D204,MAP!B:G,4,0)</f>
        <v>Investment income</v>
      </c>
    </row>
    <row r="205" spans="1:8" x14ac:dyDescent="0.25">
      <c r="A205" t="s">
        <v>0</v>
      </c>
      <c r="B205" s="1">
        <v>44561</v>
      </c>
      <c r="C205" t="s">
        <v>1</v>
      </c>
      <c r="D205" t="s">
        <v>12</v>
      </c>
      <c r="E205">
        <v>8000000</v>
      </c>
      <c r="F205" s="2">
        <v>45986.11859953704</v>
      </c>
      <c r="G205" t="str">
        <f>VLOOKUP(D205,MAP!B:C,2,0)</f>
        <v>Revenue</v>
      </c>
      <c r="H205" t="str">
        <f>VLOOKUP(D205,MAP!B:G,4,0)</f>
        <v>Investment income</v>
      </c>
    </row>
    <row r="206" spans="1:8" x14ac:dyDescent="0.25">
      <c r="A206" t="s">
        <v>0</v>
      </c>
      <c r="B206" s="1">
        <v>44196</v>
      </c>
      <c r="C206" t="s">
        <v>1</v>
      </c>
      <c r="D206" t="s">
        <v>12</v>
      </c>
      <c r="E206">
        <v>7000000</v>
      </c>
      <c r="F206" s="2">
        <v>45986.11859953704</v>
      </c>
      <c r="G206" t="str">
        <f>VLOOKUP(D206,MAP!B:C,2,0)</f>
        <v>Revenue</v>
      </c>
      <c r="H206" t="str">
        <f>VLOOKUP(D206,MAP!B:G,4,0)</f>
        <v>Investment income</v>
      </c>
    </row>
    <row r="207" spans="1:8" x14ac:dyDescent="0.25">
      <c r="A207" t="s">
        <v>0</v>
      </c>
      <c r="B207" s="1">
        <v>43830</v>
      </c>
      <c r="C207" t="s">
        <v>1</v>
      </c>
      <c r="D207" t="s">
        <v>12</v>
      </c>
      <c r="E207">
        <v>13000000</v>
      </c>
      <c r="F207" s="2">
        <v>45986.11859953704</v>
      </c>
      <c r="G207" t="str">
        <f>VLOOKUP(D207,MAP!B:C,2,0)</f>
        <v>Revenue</v>
      </c>
      <c r="H207" t="str">
        <f>VLOOKUP(D207,MAP!B:G,4,0)</f>
        <v>Investment income</v>
      </c>
    </row>
    <row r="208" spans="1:8" x14ac:dyDescent="0.25">
      <c r="A208" t="s">
        <v>0</v>
      </c>
      <c r="B208" s="1">
        <v>43465</v>
      </c>
      <c r="C208" t="s">
        <v>1</v>
      </c>
      <c r="D208" t="s">
        <v>12</v>
      </c>
      <c r="E208">
        <v>22000000</v>
      </c>
      <c r="F208" s="2">
        <v>45986.11859953704</v>
      </c>
      <c r="G208" t="str">
        <f>VLOOKUP(D208,MAP!B:C,2,0)</f>
        <v>Revenue</v>
      </c>
      <c r="H208" t="str">
        <f>VLOOKUP(D208,MAP!B:G,4,0)</f>
        <v>Investment income</v>
      </c>
    </row>
    <row r="209" spans="1:8" x14ac:dyDescent="0.25">
      <c r="A209" t="s">
        <v>0</v>
      </c>
      <c r="B209" s="1">
        <v>43100</v>
      </c>
      <c r="C209" t="s">
        <v>1</v>
      </c>
      <c r="D209" t="s">
        <v>12</v>
      </c>
      <c r="E209">
        <v>19000000</v>
      </c>
      <c r="F209" s="2">
        <v>45986.11859953704</v>
      </c>
      <c r="G209" t="str">
        <f>VLOOKUP(D209,MAP!B:C,2,0)</f>
        <v>Revenue</v>
      </c>
      <c r="H209" t="str">
        <f>VLOOKUP(D209,MAP!B:G,4,0)</f>
        <v>Investment income</v>
      </c>
    </row>
    <row r="210" spans="1:8" x14ac:dyDescent="0.25">
      <c r="A210" t="s">
        <v>0</v>
      </c>
      <c r="B210" s="1">
        <v>42735</v>
      </c>
      <c r="C210" t="s">
        <v>1</v>
      </c>
      <c r="D210" t="s">
        <v>12</v>
      </c>
      <c r="E210">
        <v>8000000</v>
      </c>
      <c r="F210" s="2">
        <v>45986.11859953704</v>
      </c>
      <c r="G210" t="str">
        <f>VLOOKUP(D210,MAP!B:C,2,0)</f>
        <v>Revenue</v>
      </c>
      <c r="H210" t="str">
        <f>VLOOKUP(D210,MAP!B:G,4,0)</f>
        <v>Investment income</v>
      </c>
    </row>
    <row r="211" spans="1:8" x14ac:dyDescent="0.25">
      <c r="A211" t="s">
        <v>0</v>
      </c>
      <c r="B211" s="1">
        <v>42369</v>
      </c>
      <c r="C211" t="s">
        <v>1</v>
      </c>
      <c r="D211" t="s">
        <v>12</v>
      </c>
      <c r="F211" s="2">
        <v>45986.11859953704</v>
      </c>
      <c r="G211" t="str">
        <f>VLOOKUP(D211,MAP!B:C,2,0)</f>
        <v>Revenue</v>
      </c>
      <c r="H211" t="str">
        <f>VLOOKUP(D211,MAP!B:G,4,0)</f>
        <v>Investment income</v>
      </c>
    </row>
    <row r="212" spans="1:8" x14ac:dyDescent="0.25">
      <c r="A212" t="s">
        <v>0</v>
      </c>
      <c r="B212" s="1">
        <v>42004</v>
      </c>
      <c r="C212" t="s">
        <v>1</v>
      </c>
      <c r="D212" t="s">
        <v>12</v>
      </c>
      <c r="F212" s="2">
        <v>45986.11859953704</v>
      </c>
      <c r="G212" t="str">
        <f>VLOOKUP(D212,MAP!B:C,2,0)</f>
        <v>Revenue</v>
      </c>
      <c r="H212" t="str">
        <f>VLOOKUP(D212,MAP!B:G,4,0)</f>
        <v>Investment income</v>
      </c>
    </row>
    <row r="213" spans="1:8" x14ac:dyDescent="0.25">
      <c r="A213" t="s">
        <v>0</v>
      </c>
      <c r="B213" s="1">
        <v>41639</v>
      </c>
      <c r="C213" t="s">
        <v>1</v>
      </c>
      <c r="D213" t="s">
        <v>12</v>
      </c>
      <c r="F213" s="2">
        <v>45986.11859953704</v>
      </c>
      <c r="G213" t="str">
        <f>VLOOKUP(D213,MAP!B:C,2,0)</f>
        <v>Revenue</v>
      </c>
      <c r="H213" t="str">
        <f>VLOOKUP(D213,MAP!B:G,4,0)</f>
        <v>Investment income</v>
      </c>
    </row>
    <row r="214" spans="1:8" x14ac:dyDescent="0.25">
      <c r="A214" t="s">
        <v>0</v>
      </c>
      <c r="B214" s="1">
        <v>41274</v>
      </c>
      <c r="C214" t="s">
        <v>1</v>
      </c>
      <c r="D214" t="s">
        <v>12</v>
      </c>
      <c r="F214" s="2">
        <v>45986.11859953704</v>
      </c>
      <c r="G214" t="str">
        <f>VLOOKUP(D214,MAP!B:C,2,0)</f>
        <v>Revenue</v>
      </c>
      <c r="H214" t="str">
        <f>VLOOKUP(D214,MAP!B:G,4,0)</f>
        <v>Investment income</v>
      </c>
    </row>
    <row r="215" spans="1:8" x14ac:dyDescent="0.25">
      <c r="A215" t="s">
        <v>0</v>
      </c>
      <c r="B215" s="1">
        <v>40908</v>
      </c>
      <c r="C215" t="s">
        <v>1</v>
      </c>
      <c r="D215" t="s">
        <v>12</v>
      </c>
      <c r="F215" s="2">
        <v>45986.11859953704</v>
      </c>
      <c r="G215" t="str">
        <f>VLOOKUP(D215,MAP!B:C,2,0)</f>
        <v>Revenue</v>
      </c>
      <c r="H215" t="str">
        <f>VLOOKUP(D215,MAP!B:G,4,0)</f>
        <v>Investment income</v>
      </c>
    </row>
    <row r="216" spans="1:8" x14ac:dyDescent="0.25">
      <c r="A216" t="s">
        <v>0</v>
      </c>
      <c r="B216" s="1">
        <v>40543</v>
      </c>
      <c r="C216" t="s">
        <v>1</v>
      </c>
      <c r="D216" t="s">
        <v>12</v>
      </c>
      <c r="F216" s="2">
        <v>45986.11859953704</v>
      </c>
      <c r="G216" t="str">
        <f>VLOOKUP(D216,MAP!B:C,2,0)</f>
        <v>Revenue</v>
      </c>
      <c r="H216" t="str">
        <f>VLOOKUP(D216,MAP!B:G,4,0)</f>
        <v>Investment income</v>
      </c>
    </row>
    <row r="217" spans="1:8" x14ac:dyDescent="0.25">
      <c r="A217" t="s">
        <v>0</v>
      </c>
      <c r="B217" s="1">
        <v>40178</v>
      </c>
      <c r="C217" t="s">
        <v>1</v>
      </c>
      <c r="D217" t="s">
        <v>12</v>
      </c>
      <c r="F217" s="2">
        <v>45986.11859953704</v>
      </c>
      <c r="G217" t="str">
        <f>VLOOKUP(D217,MAP!B:C,2,0)</f>
        <v>Revenue</v>
      </c>
      <c r="H217" t="str">
        <f>VLOOKUP(D217,MAP!B:G,4,0)</f>
        <v>Investment income</v>
      </c>
    </row>
    <row r="218" spans="1:8" x14ac:dyDescent="0.25">
      <c r="A218" t="s">
        <v>0</v>
      </c>
      <c r="B218" s="1">
        <v>39813</v>
      </c>
      <c r="C218" t="s">
        <v>1</v>
      </c>
      <c r="D218" t="s">
        <v>12</v>
      </c>
      <c r="F218" s="2">
        <v>45986.11859953704</v>
      </c>
      <c r="G218" t="str">
        <f>VLOOKUP(D218,MAP!B:C,2,0)</f>
        <v>Revenue</v>
      </c>
      <c r="H218" t="str">
        <f>VLOOKUP(D218,MAP!B:G,4,0)</f>
        <v>Investment income</v>
      </c>
    </row>
    <row r="219" spans="1:8" x14ac:dyDescent="0.25">
      <c r="A219" t="s">
        <v>0</v>
      </c>
      <c r="B219" s="1">
        <v>39447</v>
      </c>
      <c r="C219" t="s">
        <v>1</v>
      </c>
      <c r="D219" t="s">
        <v>12</v>
      </c>
      <c r="F219" s="2">
        <v>45986.11859953704</v>
      </c>
      <c r="G219" t="str">
        <f>VLOOKUP(D219,MAP!B:C,2,0)</f>
        <v>Revenue</v>
      </c>
      <c r="H219" t="str">
        <f>VLOOKUP(D219,MAP!B:G,4,0)</f>
        <v>Investment income</v>
      </c>
    </row>
    <row r="220" spans="1:8" x14ac:dyDescent="0.25">
      <c r="A220" t="s">
        <v>0</v>
      </c>
      <c r="B220" s="1">
        <v>39082</v>
      </c>
      <c r="C220" t="s">
        <v>1</v>
      </c>
      <c r="D220" t="s">
        <v>12</v>
      </c>
      <c r="F220" s="2">
        <v>45986.11859953704</v>
      </c>
      <c r="G220" t="str">
        <f>VLOOKUP(D220,MAP!B:C,2,0)</f>
        <v>Revenue</v>
      </c>
      <c r="H220" t="str">
        <f>VLOOKUP(D220,MAP!B:G,4,0)</f>
        <v>Investment income</v>
      </c>
    </row>
    <row r="221" spans="1:8" x14ac:dyDescent="0.25">
      <c r="A221" t="s">
        <v>0</v>
      </c>
      <c r="B221" s="1">
        <v>38717</v>
      </c>
      <c r="C221" t="s">
        <v>1</v>
      </c>
      <c r="D221" t="s">
        <v>12</v>
      </c>
      <c r="F221" s="2">
        <v>45986.11859953704</v>
      </c>
      <c r="G221" t="str">
        <f>VLOOKUP(D221,MAP!B:C,2,0)</f>
        <v>Revenue</v>
      </c>
      <c r="H221" t="str">
        <f>VLOOKUP(D221,MAP!B:G,4,0)</f>
        <v>Investment income</v>
      </c>
    </row>
    <row r="222" spans="1:8" x14ac:dyDescent="0.25">
      <c r="A222" t="s">
        <v>0</v>
      </c>
      <c r="B222" s="1">
        <v>45657</v>
      </c>
      <c r="C222" t="s">
        <v>1</v>
      </c>
      <c r="D222" t="s">
        <v>13</v>
      </c>
      <c r="E222">
        <v>379000000</v>
      </c>
      <c r="F222" s="2">
        <v>45986.11859953704</v>
      </c>
      <c r="G222" t="str">
        <f>VLOOKUP(D222,MAP!B:C,2,0)</f>
        <v>Interest &amp; Other</v>
      </c>
      <c r="H222" t="str">
        <f>VLOOKUP(D222,MAP!B:G,4,0)</f>
        <v>Interest Expense</v>
      </c>
    </row>
    <row r="223" spans="1:8" x14ac:dyDescent="0.25">
      <c r="A223" t="s">
        <v>0</v>
      </c>
      <c r="B223" s="1">
        <v>45291</v>
      </c>
      <c r="C223" t="s">
        <v>1</v>
      </c>
      <c r="D223" t="s">
        <v>13</v>
      </c>
      <c r="E223">
        <v>331000000</v>
      </c>
      <c r="F223" s="2">
        <v>45986.11859953704</v>
      </c>
      <c r="G223" t="str">
        <f>VLOOKUP(D223,MAP!B:C,2,0)</f>
        <v>Interest &amp; Other</v>
      </c>
      <c r="H223" t="str">
        <f>VLOOKUP(D223,MAP!B:G,4,0)</f>
        <v>Interest Expense</v>
      </c>
    </row>
    <row r="224" spans="1:8" x14ac:dyDescent="0.25">
      <c r="A224" t="s">
        <v>0</v>
      </c>
      <c r="B224" s="1">
        <v>44926</v>
      </c>
      <c r="C224" t="s">
        <v>1</v>
      </c>
      <c r="D224" t="s">
        <v>13</v>
      </c>
      <c r="E224">
        <v>322000000</v>
      </c>
      <c r="F224" s="2">
        <v>45986.11859953704</v>
      </c>
      <c r="G224" t="str">
        <f>VLOOKUP(D224,MAP!B:C,2,0)</f>
        <v>Interest &amp; Other</v>
      </c>
      <c r="H224" t="str">
        <f>VLOOKUP(D224,MAP!B:G,4,0)</f>
        <v>Interest Expense</v>
      </c>
    </row>
    <row r="225" spans="1:8" x14ac:dyDescent="0.25">
      <c r="A225" t="s">
        <v>0</v>
      </c>
      <c r="B225" s="1">
        <v>44561</v>
      </c>
      <c r="C225" t="s">
        <v>1</v>
      </c>
      <c r="D225" t="s">
        <v>13</v>
      </c>
      <c r="E225">
        <v>418000000</v>
      </c>
      <c r="F225" s="2">
        <v>45986.11859953704</v>
      </c>
      <c r="G225" t="str">
        <f>VLOOKUP(D225,MAP!B:C,2,0)</f>
        <v>Interest &amp; Other</v>
      </c>
      <c r="H225" t="str">
        <f>VLOOKUP(D225,MAP!B:G,4,0)</f>
        <v>Interest Expense</v>
      </c>
    </row>
    <row r="226" spans="1:8" x14ac:dyDescent="0.25">
      <c r="A226" t="s">
        <v>0</v>
      </c>
      <c r="B226" s="1">
        <v>44196</v>
      </c>
      <c r="C226" t="s">
        <v>1</v>
      </c>
      <c r="D226" t="s">
        <v>13</v>
      </c>
      <c r="E226">
        <v>434000000</v>
      </c>
      <c r="F226" s="2">
        <v>45986.11859953704</v>
      </c>
      <c r="G226" t="str">
        <f>VLOOKUP(D226,MAP!B:C,2,0)</f>
        <v>Interest &amp; Other</v>
      </c>
      <c r="H226" t="str">
        <f>VLOOKUP(D226,MAP!B:G,4,0)</f>
        <v>Interest Expense</v>
      </c>
    </row>
    <row r="227" spans="1:8" x14ac:dyDescent="0.25">
      <c r="A227" t="s">
        <v>0</v>
      </c>
      <c r="B227" s="1">
        <v>43830</v>
      </c>
      <c r="C227" t="s">
        <v>1</v>
      </c>
      <c r="D227" t="s">
        <v>13</v>
      </c>
      <c r="E227">
        <v>400000000</v>
      </c>
      <c r="F227" s="2">
        <v>45986.11859953704</v>
      </c>
      <c r="G227" t="str">
        <f>VLOOKUP(D227,MAP!B:C,2,0)</f>
        <v>Interest &amp; Other</v>
      </c>
      <c r="H227" t="str">
        <f>VLOOKUP(D227,MAP!B:G,4,0)</f>
        <v>Interest Expense</v>
      </c>
    </row>
    <row r="228" spans="1:8" x14ac:dyDescent="0.25">
      <c r="A228" t="s">
        <v>0</v>
      </c>
      <c r="B228" s="1">
        <v>43465</v>
      </c>
      <c r="C228" t="s">
        <v>1</v>
      </c>
      <c r="D228" t="s">
        <v>13</v>
      </c>
      <c r="E228">
        <v>478000000</v>
      </c>
      <c r="F228" s="2">
        <v>45986.11859953704</v>
      </c>
      <c r="G228" t="str">
        <f>VLOOKUP(D228,MAP!B:C,2,0)</f>
        <v>Interest &amp; Other</v>
      </c>
      <c r="H228" t="str">
        <f>VLOOKUP(D228,MAP!B:G,4,0)</f>
        <v>Interest Expense</v>
      </c>
    </row>
    <row r="229" spans="1:8" x14ac:dyDescent="0.25">
      <c r="A229" t="s">
        <v>0</v>
      </c>
      <c r="B229" s="1">
        <v>43100</v>
      </c>
      <c r="C229" t="s">
        <v>1</v>
      </c>
      <c r="D229" t="s">
        <v>13</v>
      </c>
      <c r="E229">
        <v>397000000</v>
      </c>
      <c r="F229" s="2">
        <v>45986.11859953704</v>
      </c>
      <c r="G229" t="str">
        <f>VLOOKUP(D229,MAP!B:C,2,0)</f>
        <v>Interest &amp; Other</v>
      </c>
      <c r="H229" t="str">
        <f>VLOOKUP(D229,MAP!B:G,4,0)</f>
        <v>Interest Expense</v>
      </c>
    </row>
    <row r="230" spans="1:8" x14ac:dyDescent="0.25">
      <c r="A230" t="s">
        <v>0</v>
      </c>
      <c r="B230" s="1">
        <v>42735</v>
      </c>
      <c r="C230" t="s">
        <v>1</v>
      </c>
      <c r="D230" t="s">
        <v>13</v>
      </c>
      <c r="E230">
        <v>417000000</v>
      </c>
      <c r="F230" s="2">
        <v>45986.11859953704</v>
      </c>
      <c r="G230" t="str">
        <f>VLOOKUP(D230,MAP!B:C,2,0)</f>
        <v>Interest &amp; Other</v>
      </c>
      <c r="H230" t="str">
        <f>VLOOKUP(D230,MAP!B:G,4,0)</f>
        <v>Interest Expense</v>
      </c>
    </row>
    <row r="231" spans="1:8" x14ac:dyDescent="0.25">
      <c r="A231" t="s">
        <v>0</v>
      </c>
      <c r="B231" s="1">
        <v>42369</v>
      </c>
      <c r="C231" t="s">
        <v>1</v>
      </c>
      <c r="D231" t="s">
        <v>13</v>
      </c>
      <c r="E231">
        <v>299000000</v>
      </c>
      <c r="F231" s="2">
        <v>45986.11859953704</v>
      </c>
      <c r="G231" t="str">
        <f>VLOOKUP(D231,MAP!B:C,2,0)</f>
        <v>Interest &amp; Other</v>
      </c>
      <c r="H231" t="str">
        <f>VLOOKUP(D231,MAP!B:G,4,0)</f>
        <v>Interest Expense</v>
      </c>
    </row>
    <row r="232" spans="1:8" x14ac:dyDescent="0.25">
      <c r="A232" t="s">
        <v>0</v>
      </c>
      <c r="B232" s="1">
        <v>42004</v>
      </c>
      <c r="C232" t="s">
        <v>1</v>
      </c>
      <c r="D232" t="s">
        <v>13</v>
      </c>
      <c r="E232">
        <v>130000000</v>
      </c>
      <c r="F232" s="2">
        <v>45986.11859953704</v>
      </c>
      <c r="G232" t="str">
        <f>VLOOKUP(D232,MAP!B:C,2,0)</f>
        <v>Interest &amp; Other</v>
      </c>
      <c r="H232" t="str">
        <f>VLOOKUP(D232,MAP!B:G,4,0)</f>
        <v>Interest Expense</v>
      </c>
    </row>
    <row r="233" spans="1:8" x14ac:dyDescent="0.25">
      <c r="A233" t="s">
        <v>0</v>
      </c>
      <c r="B233" s="1">
        <v>41639</v>
      </c>
      <c r="C233" t="s">
        <v>1</v>
      </c>
      <c r="D233" t="s">
        <v>13</v>
      </c>
      <c r="E233">
        <v>174000000</v>
      </c>
      <c r="F233" s="2">
        <v>45986.11859953704</v>
      </c>
      <c r="G233" t="str">
        <f>VLOOKUP(D233,MAP!B:C,2,0)</f>
        <v>Interest &amp; Other</v>
      </c>
      <c r="H233" t="str">
        <f>VLOOKUP(D233,MAP!B:G,4,0)</f>
        <v>Interest Expense</v>
      </c>
    </row>
    <row r="234" spans="1:8" x14ac:dyDescent="0.25">
      <c r="A234" t="s">
        <v>0</v>
      </c>
      <c r="B234" s="1">
        <v>41274</v>
      </c>
      <c r="C234" t="s">
        <v>1</v>
      </c>
      <c r="D234" t="s">
        <v>13</v>
      </c>
      <c r="E234">
        <v>165000000</v>
      </c>
      <c r="F234" s="2">
        <v>45986.11859953704</v>
      </c>
      <c r="G234" t="str">
        <f>VLOOKUP(D234,MAP!B:C,2,0)</f>
        <v>Interest &amp; Other</v>
      </c>
      <c r="H234" t="str">
        <f>VLOOKUP(D234,MAP!B:G,4,0)</f>
        <v>Interest Expense</v>
      </c>
    </row>
    <row r="235" spans="1:8" x14ac:dyDescent="0.25">
      <c r="A235" t="s">
        <v>0</v>
      </c>
      <c r="B235" s="1">
        <v>40908</v>
      </c>
      <c r="C235" t="s">
        <v>1</v>
      </c>
      <c r="D235" t="s">
        <v>13</v>
      </c>
      <c r="E235">
        <v>175000000</v>
      </c>
      <c r="F235" s="2">
        <v>45986.11859953704</v>
      </c>
      <c r="G235" t="str">
        <f>VLOOKUP(D235,MAP!B:C,2,0)</f>
        <v>Interest &amp; Other</v>
      </c>
      <c r="H235" t="str">
        <f>VLOOKUP(D235,MAP!B:G,4,0)</f>
        <v>Interest Expense</v>
      </c>
    </row>
    <row r="236" spans="1:8" x14ac:dyDescent="0.25">
      <c r="A236" t="s">
        <v>0</v>
      </c>
      <c r="B236" s="1">
        <v>40543</v>
      </c>
      <c r="C236" t="s">
        <v>1</v>
      </c>
      <c r="D236" t="s">
        <v>13</v>
      </c>
      <c r="E236">
        <v>242000000</v>
      </c>
      <c r="F236" s="2">
        <v>45986.11859953704</v>
      </c>
      <c r="G236" t="str">
        <f>VLOOKUP(D236,MAP!B:C,2,0)</f>
        <v>Interest &amp; Other</v>
      </c>
      <c r="H236" t="str">
        <f>VLOOKUP(D236,MAP!B:G,4,0)</f>
        <v>Interest Expense</v>
      </c>
    </row>
    <row r="237" spans="1:8" x14ac:dyDescent="0.25">
      <c r="A237" t="s">
        <v>0</v>
      </c>
      <c r="B237" s="1">
        <v>40178</v>
      </c>
      <c r="C237" t="s">
        <v>1</v>
      </c>
      <c r="D237" t="s">
        <v>13</v>
      </c>
      <c r="E237">
        <v>248000000</v>
      </c>
      <c r="F237" s="2">
        <v>45986.11859953704</v>
      </c>
      <c r="G237" t="str">
        <f>VLOOKUP(D237,MAP!B:C,2,0)</f>
        <v>Interest &amp; Other</v>
      </c>
      <c r="H237" t="str">
        <f>VLOOKUP(D237,MAP!B:G,4,0)</f>
        <v>Interest Expense</v>
      </c>
    </row>
    <row r="238" spans="1:8" x14ac:dyDescent="0.25">
      <c r="A238" t="s">
        <v>0</v>
      </c>
      <c r="B238" s="1">
        <v>39813</v>
      </c>
      <c r="C238" t="s">
        <v>1</v>
      </c>
      <c r="D238" t="s">
        <v>13</v>
      </c>
      <c r="E238">
        <v>280457000</v>
      </c>
      <c r="F238" s="2">
        <v>45986.11859953704</v>
      </c>
      <c r="G238" t="str">
        <f>VLOOKUP(D238,MAP!B:C,2,0)</f>
        <v>Interest &amp; Other</v>
      </c>
      <c r="H238" t="str">
        <f>VLOOKUP(D238,MAP!B:G,4,0)</f>
        <v>Interest Expense</v>
      </c>
    </row>
    <row r="239" spans="1:8" x14ac:dyDescent="0.25">
      <c r="A239" t="s">
        <v>0</v>
      </c>
      <c r="B239" s="1">
        <v>39447</v>
      </c>
      <c r="C239" t="s">
        <v>1</v>
      </c>
      <c r="D239" t="s">
        <v>13</v>
      </c>
      <c r="E239">
        <v>0</v>
      </c>
      <c r="F239" s="2">
        <v>45986.11859953704</v>
      </c>
      <c r="G239" t="str">
        <f>VLOOKUP(D239,MAP!B:C,2,0)</f>
        <v>Interest &amp; Other</v>
      </c>
      <c r="H239" t="str">
        <f>VLOOKUP(D239,MAP!B:G,4,0)</f>
        <v>Interest Expense</v>
      </c>
    </row>
    <row r="240" spans="1:8" x14ac:dyDescent="0.25">
      <c r="A240" t="s">
        <v>0</v>
      </c>
      <c r="B240" s="1">
        <v>39082</v>
      </c>
      <c r="C240" t="s">
        <v>1</v>
      </c>
      <c r="D240" t="s">
        <v>13</v>
      </c>
      <c r="E240">
        <v>158201000</v>
      </c>
      <c r="F240" s="2">
        <v>45986.11859953704</v>
      </c>
      <c r="G240" t="str">
        <f>VLOOKUP(D240,MAP!B:C,2,0)</f>
        <v>Interest &amp; Other</v>
      </c>
      <c r="H240" t="str">
        <f>VLOOKUP(D240,MAP!B:G,4,0)</f>
        <v>Interest Expense</v>
      </c>
    </row>
    <row r="241" spans="1:8" x14ac:dyDescent="0.25">
      <c r="A241" t="s">
        <v>0</v>
      </c>
      <c r="B241" s="1">
        <v>38717</v>
      </c>
      <c r="C241" t="s">
        <v>1</v>
      </c>
      <c r="D241" t="s">
        <v>13</v>
      </c>
      <c r="E241">
        <v>122179000</v>
      </c>
      <c r="F241" s="2">
        <v>45986.11859953704</v>
      </c>
      <c r="G241" t="str">
        <f>VLOOKUP(D241,MAP!B:C,2,0)</f>
        <v>Interest &amp; Other</v>
      </c>
      <c r="H241" t="str">
        <f>VLOOKUP(D241,MAP!B:G,4,0)</f>
        <v>Interest Expense</v>
      </c>
    </row>
    <row r="242" spans="1:8" x14ac:dyDescent="0.25">
      <c r="A242" t="s">
        <v>0</v>
      </c>
      <c r="B242" s="1">
        <v>45657</v>
      </c>
      <c r="C242" t="s">
        <v>1</v>
      </c>
      <c r="D242" t="s">
        <v>14</v>
      </c>
      <c r="F242" s="2">
        <v>45986.11859953704</v>
      </c>
      <c r="G242" t="str">
        <f>VLOOKUP(D242,MAP!B:C,2,0)</f>
        <v>Revenue</v>
      </c>
      <c r="H242" t="str">
        <f>VLOOKUP(D242,MAP!B:G,4,0)</f>
        <v>Other Revenue</v>
      </c>
    </row>
    <row r="243" spans="1:8" x14ac:dyDescent="0.25">
      <c r="A243" t="s">
        <v>0</v>
      </c>
      <c r="B243" s="1">
        <v>45291</v>
      </c>
      <c r="C243" t="s">
        <v>1</v>
      </c>
      <c r="D243" t="s">
        <v>14</v>
      </c>
      <c r="F243" s="2">
        <v>45986.11859953704</v>
      </c>
      <c r="G243" t="str">
        <f>VLOOKUP(D243,MAP!B:C,2,0)</f>
        <v>Revenue</v>
      </c>
      <c r="H243" t="str">
        <f>VLOOKUP(D243,MAP!B:G,4,0)</f>
        <v>Other Revenue</v>
      </c>
    </row>
    <row r="244" spans="1:8" x14ac:dyDescent="0.25">
      <c r="A244" t="s">
        <v>0</v>
      </c>
      <c r="B244" s="1">
        <v>44926</v>
      </c>
      <c r="C244" t="s">
        <v>1</v>
      </c>
      <c r="D244" t="s">
        <v>14</v>
      </c>
      <c r="F244" s="2">
        <v>45986.11859953704</v>
      </c>
      <c r="G244" t="str">
        <f>VLOOKUP(D244,MAP!B:C,2,0)</f>
        <v>Revenue</v>
      </c>
      <c r="H244" t="str">
        <f>VLOOKUP(D244,MAP!B:G,4,0)</f>
        <v>Other Revenue</v>
      </c>
    </row>
    <row r="245" spans="1:8" x14ac:dyDescent="0.25">
      <c r="A245" t="s">
        <v>0</v>
      </c>
      <c r="B245" s="1">
        <v>44561</v>
      </c>
      <c r="C245" t="s">
        <v>1</v>
      </c>
      <c r="D245" t="s">
        <v>14</v>
      </c>
      <c r="F245" s="2">
        <v>45986.11859953704</v>
      </c>
      <c r="G245" t="str">
        <f>VLOOKUP(D245,MAP!B:C,2,0)</f>
        <v>Revenue</v>
      </c>
      <c r="H245" t="str">
        <f>VLOOKUP(D245,MAP!B:G,4,0)</f>
        <v>Other Revenue</v>
      </c>
    </row>
    <row r="246" spans="1:8" x14ac:dyDescent="0.25">
      <c r="A246" t="s">
        <v>0</v>
      </c>
      <c r="B246" s="1">
        <v>44196</v>
      </c>
      <c r="C246" t="s">
        <v>1</v>
      </c>
      <c r="D246" t="s">
        <v>14</v>
      </c>
      <c r="F246" s="2">
        <v>45986.11859953704</v>
      </c>
      <c r="G246" t="str">
        <f>VLOOKUP(D246,MAP!B:C,2,0)</f>
        <v>Revenue</v>
      </c>
      <c r="H246" t="str">
        <f>VLOOKUP(D246,MAP!B:G,4,0)</f>
        <v>Other Revenue</v>
      </c>
    </row>
    <row r="247" spans="1:8" x14ac:dyDescent="0.25">
      <c r="A247" t="s">
        <v>0</v>
      </c>
      <c r="B247" s="1">
        <v>43830</v>
      </c>
      <c r="C247" t="s">
        <v>1</v>
      </c>
      <c r="D247" t="s">
        <v>14</v>
      </c>
      <c r="F247" s="2">
        <v>45986.11859953704</v>
      </c>
      <c r="G247" t="str">
        <f>VLOOKUP(D247,MAP!B:C,2,0)</f>
        <v>Revenue</v>
      </c>
      <c r="H247" t="str">
        <f>VLOOKUP(D247,MAP!B:G,4,0)</f>
        <v>Other Revenue</v>
      </c>
    </row>
    <row r="248" spans="1:8" x14ac:dyDescent="0.25">
      <c r="A248" t="s">
        <v>0</v>
      </c>
      <c r="B248" s="1">
        <v>43465</v>
      </c>
      <c r="C248" t="s">
        <v>1</v>
      </c>
      <c r="D248" t="s">
        <v>14</v>
      </c>
      <c r="F248" s="2">
        <v>45986.11859953704</v>
      </c>
      <c r="G248" t="str">
        <f>VLOOKUP(D248,MAP!B:C,2,0)</f>
        <v>Revenue</v>
      </c>
      <c r="H248" t="str">
        <f>VLOOKUP(D248,MAP!B:G,4,0)</f>
        <v>Other Revenue</v>
      </c>
    </row>
    <row r="249" spans="1:8" x14ac:dyDescent="0.25">
      <c r="A249" t="s">
        <v>0</v>
      </c>
      <c r="B249" s="1">
        <v>43100</v>
      </c>
      <c r="C249" t="s">
        <v>1</v>
      </c>
      <c r="D249" t="s">
        <v>14</v>
      </c>
      <c r="F249" s="2">
        <v>45986.11859953704</v>
      </c>
      <c r="G249" t="str">
        <f>VLOOKUP(D249,MAP!B:C,2,0)</f>
        <v>Revenue</v>
      </c>
      <c r="H249" t="str">
        <f>VLOOKUP(D249,MAP!B:G,4,0)</f>
        <v>Other Revenue</v>
      </c>
    </row>
    <row r="250" spans="1:8" x14ac:dyDescent="0.25">
      <c r="A250" t="s">
        <v>0</v>
      </c>
      <c r="B250" s="1">
        <v>42735</v>
      </c>
      <c r="C250" t="s">
        <v>1</v>
      </c>
      <c r="D250" t="s">
        <v>14</v>
      </c>
      <c r="F250" s="2">
        <v>45986.11859953704</v>
      </c>
      <c r="G250" t="str">
        <f>VLOOKUP(D250,MAP!B:C,2,0)</f>
        <v>Revenue</v>
      </c>
      <c r="H250" t="str">
        <f>VLOOKUP(D250,MAP!B:G,4,0)</f>
        <v>Other Revenue</v>
      </c>
    </row>
    <row r="251" spans="1:8" x14ac:dyDescent="0.25">
      <c r="A251" t="s">
        <v>0</v>
      </c>
      <c r="B251" s="1">
        <v>42369</v>
      </c>
      <c r="C251" t="s">
        <v>1</v>
      </c>
      <c r="D251" t="s">
        <v>14</v>
      </c>
      <c r="F251" s="2">
        <v>45986.11859953704</v>
      </c>
      <c r="G251" t="str">
        <f>VLOOKUP(D251,MAP!B:C,2,0)</f>
        <v>Revenue</v>
      </c>
      <c r="H251" t="str">
        <f>VLOOKUP(D251,MAP!B:G,4,0)</f>
        <v>Other Revenue</v>
      </c>
    </row>
    <row r="252" spans="1:8" x14ac:dyDescent="0.25">
      <c r="A252" t="s">
        <v>0</v>
      </c>
      <c r="B252" s="1">
        <v>42004</v>
      </c>
      <c r="C252" t="s">
        <v>1</v>
      </c>
      <c r="D252" t="s">
        <v>14</v>
      </c>
      <c r="F252" s="2">
        <v>45986.11859953704</v>
      </c>
      <c r="G252" t="str">
        <f>VLOOKUP(D252,MAP!B:C,2,0)</f>
        <v>Revenue</v>
      </c>
      <c r="H252" t="str">
        <f>VLOOKUP(D252,MAP!B:G,4,0)</f>
        <v>Other Revenue</v>
      </c>
    </row>
    <row r="253" spans="1:8" x14ac:dyDescent="0.25">
      <c r="A253" t="s">
        <v>0</v>
      </c>
      <c r="B253" s="1">
        <v>41639</v>
      </c>
      <c r="C253" t="s">
        <v>1</v>
      </c>
      <c r="D253" t="s">
        <v>14</v>
      </c>
      <c r="F253" s="2">
        <v>45986.11859953704</v>
      </c>
      <c r="G253" t="str">
        <f>VLOOKUP(D253,MAP!B:C,2,0)</f>
        <v>Revenue</v>
      </c>
      <c r="H253" t="str">
        <f>VLOOKUP(D253,MAP!B:G,4,0)</f>
        <v>Other Revenue</v>
      </c>
    </row>
    <row r="254" spans="1:8" x14ac:dyDescent="0.25">
      <c r="A254" t="s">
        <v>0</v>
      </c>
      <c r="B254" s="1">
        <v>41274</v>
      </c>
      <c r="C254" t="s">
        <v>1</v>
      </c>
      <c r="D254" t="s">
        <v>14</v>
      </c>
      <c r="F254" s="2">
        <v>45986.11859953704</v>
      </c>
      <c r="G254" t="str">
        <f>VLOOKUP(D254,MAP!B:C,2,0)</f>
        <v>Revenue</v>
      </c>
      <c r="H254" t="str">
        <f>VLOOKUP(D254,MAP!B:G,4,0)</f>
        <v>Other Revenue</v>
      </c>
    </row>
    <row r="255" spans="1:8" x14ac:dyDescent="0.25">
      <c r="A255" t="s">
        <v>0</v>
      </c>
      <c r="B255" s="1">
        <v>40908</v>
      </c>
      <c r="C255" t="s">
        <v>1</v>
      </c>
      <c r="D255" t="s">
        <v>14</v>
      </c>
      <c r="F255" s="2">
        <v>45986.11859953704</v>
      </c>
      <c r="G255" t="str">
        <f>VLOOKUP(D255,MAP!B:C,2,0)</f>
        <v>Revenue</v>
      </c>
      <c r="H255" t="str">
        <f>VLOOKUP(D255,MAP!B:G,4,0)</f>
        <v>Other Revenue</v>
      </c>
    </row>
    <row r="256" spans="1:8" x14ac:dyDescent="0.25">
      <c r="A256" t="s">
        <v>0</v>
      </c>
      <c r="B256" s="1">
        <v>40543</v>
      </c>
      <c r="C256" t="s">
        <v>1</v>
      </c>
      <c r="D256" t="s">
        <v>14</v>
      </c>
      <c r="F256" s="2">
        <v>45986.11859953704</v>
      </c>
      <c r="G256" t="str">
        <f>VLOOKUP(D256,MAP!B:C,2,0)</f>
        <v>Revenue</v>
      </c>
      <c r="H256" t="str">
        <f>VLOOKUP(D256,MAP!B:G,4,0)</f>
        <v>Other Revenue</v>
      </c>
    </row>
    <row r="257" spans="1:8" x14ac:dyDescent="0.25">
      <c r="A257" t="s">
        <v>0</v>
      </c>
      <c r="B257" s="1">
        <v>40178</v>
      </c>
      <c r="C257" t="s">
        <v>1</v>
      </c>
      <c r="D257" t="s">
        <v>14</v>
      </c>
      <c r="F257" s="2">
        <v>45986.11859953704</v>
      </c>
      <c r="G257" t="str">
        <f>VLOOKUP(D257,MAP!B:C,2,0)</f>
        <v>Revenue</v>
      </c>
      <c r="H257" t="str">
        <f>VLOOKUP(D257,MAP!B:G,4,0)</f>
        <v>Other Revenue</v>
      </c>
    </row>
    <row r="258" spans="1:8" x14ac:dyDescent="0.25">
      <c r="A258" t="s">
        <v>0</v>
      </c>
      <c r="B258" s="1">
        <v>39813</v>
      </c>
      <c r="C258" t="s">
        <v>1</v>
      </c>
      <c r="D258" t="s">
        <v>14</v>
      </c>
      <c r="F258" s="2">
        <v>45986.11859953704</v>
      </c>
      <c r="G258" t="str">
        <f>VLOOKUP(D258,MAP!B:C,2,0)</f>
        <v>Revenue</v>
      </c>
      <c r="H258" t="str">
        <f>VLOOKUP(D258,MAP!B:G,4,0)</f>
        <v>Other Revenue</v>
      </c>
    </row>
    <row r="259" spans="1:8" x14ac:dyDescent="0.25">
      <c r="A259" t="s">
        <v>0</v>
      </c>
      <c r="B259" s="1">
        <v>39447</v>
      </c>
      <c r="C259" t="s">
        <v>1</v>
      </c>
      <c r="D259" t="s">
        <v>14</v>
      </c>
      <c r="F259" s="2">
        <v>45986.11859953704</v>
      </c>
      <c r="G259" t="str">
        <f>VLOOKUP(D259,MAP!B:C,2,0)</f>
        <v>Revenue</v>
      </c>
      <c r="H259" t="str">
        <f>VLOOKUP(D259,MAP!B:G,4,0)</f>
        <v>Other Revenue</v>
      </c>
    </row>
    <row r="260" spans="1:8" x14ac:dyDescent="0.25">
      <c r="A260" t="s">
        <v>0</v>
      </c>
      <c r="B260" s="1">
        <v>39082</v>
      </c>
      <c r="C260" t="s">
        <v>1</v>
      </c>
      <c r="D260" t="s">
        <v>14</v>
      </c>
      <c r="F260" s="2">
        <v>45986.11859953704</v>
      </c>
      <c r="G260" t="str">
        <f>VLOOKUP(D260,MAP!B:C,2,0)</f>
        <v>Revenue</v>
      </c>
      <c r="H260" t="str">
        <f>VLOOKUP(D260,MAP!B:G,4,0)</f>
        <v>Other Revenue</v>
      </c>
    </row>
    <row r="261" spans="1:8" x14ac:dyDescent="0.25">
      <c r="A261" t="s">
        <v>0</v>
      </c>
      <c r="B261" s="1">
        <v>38717</v>
      </c>
      <c r="C261" t="s">
        <v>1</v>
      </c>
      <c r="D261" t="s">
        <v>14</v>
      </c>
      <c r="F261" s="2">
        <v>45986.11859953704</v>
      </c>
      <c r="G261" t="str">
        <f>VLOOKUP(D261,MAP!B:C,2,0)</f>
        <v>Revenue</v>
      </c>
      <c r="H261" t="str">
        <f>VLOOKUP(D261,MAP!B:G,4,0)</f>
        <v>Other Revenue</v>
      </c>
    </row>
    <row r="262" spans="1:8" x14ac:dyDescent="0.25">
      <c r="A262" t="s">
        <v>0</v>
      </c>
      <c r="B262" s="1">
        <v>45657</v>
      </c>
      <c r="C262" t="s">
        <v>1</v>
      </c>
      <c r="D262" t="s">
        <v>15</v>
      </c>
      <c r="F262" s="2">
        <v>45986.11859953704</v>
      </c>
      <c r="G262" t="str">
        <f>VLOOKUP(D262,MAP!B:C,2,0)</f>
        <v>Revenue</v>
      </c>
      <c r="H262" t="str">
        <f>VLOOKUP(D262,MAP!B:G,4,0)</f>
        <v>Other Revenue</v>
      </c>
    </row>
    <row r="263" spans="1:8" x14ac:dyDescent="0.25">
      <c r="A263" t="s">
        <v>0</v>
      </c>
      <c r="B263" s="1">
        <v>45291</v>
      </c>
      <c r="C263" t="s">
        <v>1</v>
      </c>
      <c r="D263" t="s">
        <v>15</v>
      </c>
      <c r="F263" s="2">
        <v>45986.11859953704</v>
      </c>
      <c r="G263" t="str">
        <f>VLOOKUP(D263,MAP!B:C,2,0)</f>
        <v>Revenue</v>
      </c>
      <c r="H263" t="str">
        <f>VLOOKUP(D263,MAP!B:G,4,0)</f>
        <v>Other Revenue</v>
      </c>
    </row>
    <row r="264" spans="1:8" x14ac:dyDescent="0.25">
      <c r="A264" t="s">
        <v>0</v>
      </c>
      <c r="B264" s="1">
        <v>44926</v>
      </c>
      <c r="C264" t="s">
        <v>1</v>
      </c>
      <c r="D264" t="s">
        <v>15</v>
      </c>
      <c r="E264">
        <v>1073000000</v>
      </c>
      <c r="F264" s="2">
        <v>45986.11859953704</v>
      </c>
      <c r="G264" t="str">
        <f>VLOOKUP(D264,MAP!B:C,2,0)</f>
        <v>Revenue</v>
      </c>
      <c r="H264" t="str">
        <f>VLOOKUP(D264,MAP!B:G,4,0)</f>
        <v>Other Revenue</v>
      </c>
    </row>
    <row r="265" spans="1:8" x14ac:dyDescent="0.25">
      <c r="A265" t="s">
        <v>0</v>
      </c>
      <c r="B265" s="1">
        <v>44561</v>
      </c>
      <c r="C265" t="s">
        <v>1</v>
      </c>
      <c r="D265" t="s">
        <v>15</v>
      </c>
      <c r="E265">
        <v>161000000</v>
      </c>
      <c r="F265" s="2">
        <v>45986.11859953704</v>
      </c>
      <c r="G265" t="str">
        <f>VLOOKUP(D265,MAP!B:C,2,0)</f>
        <v>Revenue</v>
      </c>
      <c r="H265" t="str">
        <f>VLOOKUP(D265,MAP!B:G,4,0)</f>
        <v>Other Revenue</v>
      </c>
    </row>
    <row r="266" spans="1:8" x14ac:dyDescent="0.25">
      <c r="A266" t="s">
        <v>0</v>
      </c>
      <c r="B266" s="1">
        <v>44196</v>
      </c>
      <c r="C266" t="s">
        <v>1</v>
      </c>
      <c r="D266" t="s">
        <v>15</v>
      </c>
      <c r="F266" s="2">
        <v>45986.11859953704</v>
      </c>
      <c r="G266" t="str">
        <f>VLOOKUP(D266,MAP!B:C,2,0)</f>
        <v>Revenue</v>
      </c>
      <c r="H266" t="str">
        <f>VLOOKUP(D266,MAP!B:G,4,0)</f>
        <v>Other Revenue</v>
      </c>
    </row>
    <row r="267" spans="1:8" x14ac:dyDescent="0.25">
      <c r="A267" t="s">
        <v>0</v>
      </c>
      <c r="B267" s="1">
        <v>43830</v>
      </c>
      <c r="C267" t="s">
        <v>1</v>
      </c>
      <c r="D267" t="s">
        <v>15</v>
      </c>
      <c r="E267">
        <v>43000000</v>
      </c>
      <c r="F267" s="2">
        <v>45986.11859953704</v>
      </c>
      <c r="G267" t="str">
        <f>VLOOKUP(D267,MAP!B:C,2,0)</f>
        <v>Revenue</v>
      </c>
      <c r="H267" t="str">
        <f>VLOOKUP(D267,MAP!B:G,4,0)</f>
        <v>Other Revenue</v>
      </c>
    </row>
    <row r="268" spans="1:8" x14ac:dyDescent="0.25">
      <c r="A268" t="s">
        <v>0</v>
      </c>
      <c r="B268" s="1">
        <v>43465</v>
      </c>
      <c r="C268" t="s">
        <v>1</v>
      </c>
      <c r="D268" t="s">
        <v>15</v>
      </c>
      <c r="F268" s="2">
        <v>45986.11859953704</v>
      </c>
      <c r="G268" t="str">
        <f>VLOOKUP(D268,MAP!B:C,2,0)</f>
        <v>Revenue</v>
      </c>
      <c r="H268" t="str">
        <f>VLOOKUP(D268,MAP!B:G,4,0)</f>
        <v>Other Revenue</v>
      </c>
    </row>
    <row r="269" spans="1:8" x14ac:dyDescent="0.25">
      <c r="A269" t="s">
        <v>0</v>
      </c>
      <c r="B269" s="1">
        <v>43100</v>
      </c>
      <c r="C269" t="s">
        <v>1</v>
      </c>
      <c r="D269" t="s">
        <v>15</v>
      </c>
      <c r="E269">
        <v>-397000000</v>
      </c>
      <c r="F269" s="2">
        <v>45986.11859953704</v>
      </c>
      <c r="G269" t="str">
        <f>VLOOKUP(D269,MAP!B:C,2,0)</f>
        <v>Revenue</v>
      </c>
      <c r="H269" t="str">
        <f>VLOOKUP(D269,MAP!B:G,4,0)</f>
        <v>Other Revenue</v>
      </c>
    </row>
    <row r="270" spans="1:8" x14ac:dyDescent="0.25">
      <c r="A270" t="s">
        <v>0</v>
      </c>
      <c r="B270" s="1">
        <v>42735</v>
      </c>
      <c r="C270" t="s">
        <v>1</v>
      </c>
      <c r="D270" t="s">
        <v>15</v>
      </c>
      <c r="E270">
        <v>-417000000</v>
      </c>
      <c r="F270" s="2">
        <v>45986.11859953704</v>
      </c>
      <c r="G270" t="str">
        <f>VLOOKUP(D270,MAP!B:C,2,0)</f>
        <v>Revenue</v>
      </c>
      <c r="H270" t="str">
        <f>VLOOKUP(D270,MAP!B:G,4,0)</f>
        <v>Other Revenue</v>
      </c>
    </row>
    <row r="271" spans="1:8" x14ac:dyDescent="0.25">
      <c r="A271" t="s">
        <v>0</v>
      </c>
      <c r="B271" s="1">
        <v>42369</v>
      </c>
      <c r="C271" t="s">
        <v>1</v>
      </c>
      <c r="D271" t="s">
        <v>15</v>
      </c>
      <c r="E271">
        <v>-299000000</v>
      </c>
      <c r="F271" s="2">
        <v>45986.11859953704</v>
      </c>
      <c r="G271" t="str">
        <f>VLOOKUP(D271,MAP!B:C,2,0)</f>
        <v>Revenue</v>
      </c>
      <c r="H271" t="str">
        <f>VLOOKUP(D271,MAP!B:G,4,0)</f>
        <v>Other Revenue</v>
      </c>
    </row>
    <row r="272" spans="1:8" x14ac:dyDescent="0.25">
      <c r="A272" t="s">
        <v>0</v>
      </c>
      <c r="B272" s="1">
        <v>42004</v>
      </c>
      <c r="C272" t="s">
        <v>1</v>
      </c>
      <c r="D272" t="s">
        <v>15</v>
      </c>
      <c r="E272">
        <v>-130000000</v>
      </c>
      <c r="F272" s="2">
        <v>45986.11859953704</v>
      </c>
      <c r="G272" t="str">
        <f>VLOOKUP(D272,MAP!B:C,2,0)</f>
        <v>Revenue</v>
      </c>
      <c r="H272" t="str">
        <f>VLOOKUP(D272,MAP!B:G,4,0)</f>
        <v>Other Revenue</v>
      </c>
    </row>
    <row r="273" spans="1:8" x14ac:dyDescent="0.25">
      <c r="A273" t="s">
        <v>0</v>
      </c>
      <c r="B273" s="1">
        <v>41639</v>
      </c>
      <c r="C273" t="s">
        <v>1</v>
      </c>
      <c r="D273" t="s">
        <v>15</v>
      </c>
      <c r="F273" s="2">
        <v>45986.11859953704</v>
      </c>
      <c r="G273" t="str">
        <f>VLOOKUP(D273,MAP!B:C,2,0)</f>
        <v>Revenue</v>
      </c>
      <c r="H273" t="str">
        <f>VLOOKUP(D273,MAP!B:G,4,0)</f>
        <v>Other Revenue</v>
      </c>
    </row>
    <row r="274" spans="1:8" x14ac:dyDescent="0.25">
      <c r="A274" t="s">
        <v>0</v>
      </c>
      <c r="B274" s="1">
        <v>41274</v>
      </c>
      <c r="C274" t="s">
        <v>1</v>
      </c>
      <c r="D274" t="s">
        <v>15</v>
      </c>
      <c r="F274" s="2">
        <v>45986.11859953704</v>
      </c>
      <c r="G274" t="str">
        <f>VLOOKUP(D274,MAP!B:C,2,0)</f>
        <v>Revenue</v>
      </c>
      <c r="H274" t="str">
        <f>VLOOKUP(D274,MAP!B:G,4,0)</f>
        <v>Other Revenue</v>
      </c>
    </row>
    <row r="275" spans="1:8" x14ac:dyDescent="0.25">
      <c r="A275" t="s">
        <v>0</v>
      </c>
      <c r="B275" s="1">
        <v>40908</v>
      </c>
      <c r="C275" t="s">
        <v>1</v>
      </c>
      <c r="D275" t="s">
        <v>15</v>
      </c>
      <c r="F275" s="2">
        <v>45986.11859953704</v>
      </c>
      <c r="G275" t="str">
        <f>VLOOKUP(D275,MAP!B:C,2,0)</f>
        <v>Revenue</v>
      </c>
      <c r="H275" t="str">
        <f>VLOOKUP(D275,MAP!B:G,4,0)</f>
        <v>Other Revenue</v>
      </c>
    </row>
    <row r="276" spans="1:8" x14ac:dyDescent="0.25">
      <c r="A276" t="s">
        <v>0</v>
      </c>
      <c r="B276" s="1">
        <v>40543</v>
      </c>
      <c r="C276" t="s">
        <v>1</v>
      </c>
      <c r="D276" t="s">
        <v>15</v>
      </c>
      <c r="F276" s="2">
        <v>45986.11859953704</v>
      </c>
      <c r="G276" t="str">
        <f>VLOOKUP(D276,MAP!B:C,2,0)</f>
        <v>Revenue</v>
      </c>
      <c r="H276" t="str">
        <f>VLOOKUP(D276,MAP!B:G,4,0)</f>
        <v>Other Revenue</v>
      </c>
    </row>
    <row r="277" spans="1:8" x14ac:dyDescent="0.25">
      <c r="A277" t="s">
        <v>0</v>
      </c>
      <c r="B277" s="1">
        <v>40178</v>
      </c>
      <c r="C277" t="s">
        <v>1</v>
      </c>
      <c r="D277" t="s">
        <v>15</v>
      </c>
      <c r="F277" s="2">
        <v>45986.11859953704</v>
      </c>
      <c r="G277" t="str">
        <f>VLOOKUP(D277,MAP!B:C,2,0)</f>
        <v>Revenue</v>
      </c>
      <c r="H277" t="str">
        <f>VLOOKUP(D277,MAP!B:G,4,0)</f>
        <v>Other Revenue</v>
      </c>
    </row>
    <row r="278" spans="1:8" x14ac:dyDescent="0.25">
      <c r="A278" t="s">
        <v>0</v>
      </c>
      <c r="B278" s="1">
        <v>39813</v>
      </c>
      <c r="C278" t="s">
        <v>1</v>
      </c>
      <c r="D278" t="s">
        <v>15</v>
      </c>
      <c r="F278" s="2">
        <v>45986.11859953704</v>
      </c>
      <c r="G278" t="str">
        <f>VLOOKUP(D278,MAP!B:C,2,0)</f>
        <v>Revenue</v>
      </c>
      <c r="H278" t="str">
        <f>VLOOKUP(D278,MAP!B:G,4,0)</f>
        <v>Other Revenue</v>
      </c>
    </row>
    <row r="279" spans="1:8" x14ac:dyDescent="0.25">
      <c r="A279" t="s">
        <v>0</v>
      </c>
      <c r="B279" s="1">
        <v>39447</v>
      </c>
      <c r="C279" t="s">
        <v>1</v>
      </c>
      <c r="D279" t="s">
        <v>15</v>
      </c>
      <c r="F279" s="2">
        <v>45986.11859953704</v>
      </c>
      <c r="G279" t="str">
        <f>VLOOKUP(D279,MAP!B:C,2,0)</f>
        <v>Revenue</v>
      </c>
      <c r="H279" t="str">
        <f>VLOOKUP(D279,MAP!B:G,4,0)</f>
        <v>Other Revenue</v>
      </c>
    </row>
    <row r="280" spans="1:8" x14ac:dyDescent="0.25">
      <c r="A280" t="s">
        <v>0</v>
      </c>
      <c r="B280" s="1">
        <v>39082</v>
      </c>
      <c r="C280" t="s">
        <v>1</v>
      </c>
      <c r="D280" t="s">
        <v>15</v>
      </c>
      <c r="F280" s="2">
        <v>45986.11859953704</v>
      </c>
      <c r="G280" t="str">
        <f>VLOOKUP(D280,MAP!B:C,2,0)</f>
        <v>Revenue</v>
      </c>
      <c r="H280" t="str">
        <f>VLOOKUP(D280,MAP!B:G,4,0)</f>
        <v>Other Revenue</v>
      </c>
    </row>
    <row r="281" spans="1:8" x14ac:dyDescent="0.25">
      <c r="A281" t="s">
        <v>0</v>
      </c>
      <c r="B281" s="1">
        <v>38717</v>
      </c>
      <c r="C281" t="s">
        <v>1</v>
      </c>
      <c r="D281" t="s">
        <v>15</v>
      </c>
      <c r="F281" s="2">
        <v>45986.11859953704</v>
      </c>
      <c r="G281" t="str">
        <f>VLOOKUP(D281,MAP!B:C,2,0)</f>
        <v>Revenue</v>
      </c>
      <c r="H281" t="str">
        <f>VLOOKUP(D281,MAP!B:G,4,0)</f>
        <v>Other Revenue</v>
      </c>
    </row>
    <row r="282" spans="1:8" x14ac:dyDescent="0.25">
      <c r="A282" t="s">
        <v>0</v>
      </c>
      <c r="B282" s="1">
        <v>45657</v>
      </c>
      <c r="C282" t="s">
        <v>1</v>
      </c>
      <c r="D282" t="s">
        <v>16</v>
      </c>
      <c r="F282" s="2">
        <v>45986.11859953704</v>
      </c>
      <c r="G282" t="str">
        <f>VLOOKUP(D282,MAP!B:C,2,0)</f>
        <v>Operating Expenses</v>
      </c>
      <c r="H282" t="str">
        <f>VLOOKUP(D282,MAP!B:G,4,0)</f>
        <v>Depr. &amp; Amort.</v>
      </c>
    </row>
    <row r="283" spans="1:8" x14ac:dyDescent="0.25">
      <c r="A283" t="s">
        <v>0</v>
      </c>
      <c r="B283" s="1">
        <v>45291</v>
      </c>
      <c r="C283" t="s">
        <v>1</v>
      </c>
      <c r="D283" t="s">
        <v>16</v>
      </c>
      <c r="F283" s="2">
        <v>45986.11859953704</v>
      </c>
      <c r="G283" t="str">
        <f>VLOOKUP(D283,MAP!B:C,2,0)</f>
        <v>Operating Expenses</v>
      </c>
      <c r="H283" t="str">
        <f>VLOOKUP(D283,MAP!B:G,4,0)</f>
        <v>Depr. &amp; Amort.</v>
      </c>
    </row>
    <row r="284" spans="1:8" x14ac:dyDescent="0.25">
      <c r="A284" t="s">
        <v>0</v>
      </c>
      <c r="B284" s="1">
        <v>44926</v>
      </c>
      <c r="C284" t="s">
        <v>1</v>
      </c>
      <c r="D284" t="s">
        <v>16</v>
      </c>
      <c r="F284" s="2">
        <v>45986.11859953704</v>
      </c>
      <c r="G284" t="str">
        <f>VLOOKUP(D284,MAP!B:C,2,0)</f>
        <v>Operating Expenses</v>
      </c>
      <c r="H284" t="str">
        <f>VLOOKUP(D284,MAP!B:G,4,0)</f>
        <v>Depr. &amp; Amort.</v>
      </c>
    </row>
    <row r="285" spans="1:8" x14ac:dyDescent="0.25">
      <c r="A285" t="s">
        <v>0</v>
      </c>
      <c r="B285" s="1">
        <v>44561</v>
      </c>
      <c r="C285" t="s">
        <v>1</v>
      </c>
      <c r="D285" t="s">
        <v>16</v>
      </c>
      <c r="F285" s="2">
        <v>45986.11859953704</v>
      </c>
      <c r="G285" t="str">
        <f>VLOOKUP(D285,MAP!B:C,2,0)</f>
        <v>Operating Expenses</v>
      </c>
      <c r="H285" t="str">
        <f>VLOOKUP(D285,MAP!B:G,4,0)</f>
        <v>Depr. &amp; Amort.</v>
      </c>
    </row>
    <row r="286" spans="1:8" x14ac:dyDescent="0.25">
      <c r="A286" t="s">
        <v>0</v>
      </c>
      <c r="B286" s="1">
        <v>44196</v>
      </c>
      <c r="C286" t="s">
        <v>1</v>
      </c>
      <c r="D286" t="s">
        <v>16</v>
      </c>
      <c r="F286" s="2">
        <v>45986.11859953704</v>
      </c>
      <c r="G286" t="str">
        <f>VLOOKUP(D286,MAP!B:C,2,0)</f>
        <v>Operating Expenses</v>
      </c>
      <c r="H286" t="str">
        <f>VLOOKUP(D286,MAP!B:G,4,0)</f>
        <v>Depr. &amp; Amort.</v>
      </c>
    </row>
    <row r="287" spans="1:8" x14ac:dyDescent="0.25">
      <c r="A287" t="s">
        <v>0</v>
      </c>
      <c r="B287" s="1">
        <v>43830</v>
      </c>
      <c r="C287" t="s">
        <v>1</v>
      </c>
      <c r="D287" t="s">
        <v>16</v>
      </c>
      <c r="F287" s="2">
        <v>45986.11859953704</v>
      </c>
      <c r="G287" t="str">
        <f>VLOOKUP(D287,MAP!B:C,2,0)</f>
        <v>Operating Expenses</v>
      </c>
      <c r="H287" t="str">
        <f>VLOOKUP(D287,MAP!B:G,4,0)</f>
        <v>Depr. &amp; Amort.</v>
      </c>
    </row>
    <row r="288" spans="1:8" x14ac:dyDescent="0.25">
      <c r="A288" t="s">
        <v>0</v>
      </c>
      <c r="B288" s="1">
        <v>43465</v>
      </c>
      <c r="C288" t="s">
        <v>1</v>
      </c>
      <c r="D288" t="s">
        <v>16</v>
      </c>
      <c r="F288" s="2">
        <v>45986.11859953704</v>
      </c>
      <c r="G288" t="str">
        <f>VLOOKUP(D288,MAP!B:C,2,0)</f>
        <v>Operating Expenses</v>
      </c>
      <c r="H288" t="str">
        <f>VLOOKUP(D288,MAP!B:G,4,0)</f>
        <v>Depr. &amp; Amort.</v>
      </c>
    </row>
    <row r="289" spans="1:8" x14ac:dyDescent="0.25">
      <c r="A289" t="s">
        <v>0</v>
      </c>
      <c r="B289" s="1">
        <v>43100</v>
      </c>
      <c r="C289" t="s">
        <v>1</v>
      </c>
      <c r="D289" t="s">
        <v>16</v>
      </c>
      <c r="F289" s="2">
        <v>45986.11859953704</v>
      </c>
      <c r="G289" t="str">
        <f>VLOOKUP(D289,MAP!B:C,2,0)</f>
        <v>Operating Expenses</v>
      </c>
      <c r="H289" t="str">
        <f>VLOOKUP(D289,MAP!B:G,4,0)</f>
        <v>Depr. &amp; Amort.</v>
      </c>
    </row>
    <row r="290" spans="1:8" x14ac:dyDescent="0.25">
      <c r="A290" t="s">
        <v>0</v>
      </c>
      <c r="B290" s="1">
        <v>42735</v>
      </c>
      <c r="C290" t="s">
        <v>1</v>
      </c>
      <c r="D290" t="s">
        <v>16</v>
      </c>
      <c r="F290" s="2">
        <v>45986.11859953704</v>
      </c>
      <c r="G290" t="str">
        <f>VLOOKUP(D290,MAP!B:C,2,0)</f>
        <v>Operating Expenses</v>
      </c>
      <c r="H290" t="str">
        <f>VLOOKUP(D290,MAP!B:G,4,0)</f>
        <v>Depr. &amp; Amort.</v>
      </c>
    </row>
    <row r="291" spans="1:8" x14ac:dyDescent="0.25">
      <c r="A291" t="s">
        <v>0</v>
      </c>
      <c r="B291" s="1">
        <v>42369</v>
      </c>
      <c r="C291" t="s">
        <v>1</v>
      </c>
      <c r="D291" t="s">
        <v>16</v>
      </c>
      <c r="F291" s="2">
        <v>45986.11859953704</v>
      </c>
      <c r="G291" t="str">
        <f>VLOOKUP(D291,MAP!B:C,2,0)</f>
        <v>Operating Expenses</v>
      </c>
      <c r="H291" t="str">
        <f>VLOOKUP(D291,MAP!B:G,4,0)</f>
        <v>Depr. &amp; Amort.</v>
      </c>
    </row>
    <row r="292" spans="1:8" x14ac:dyDescent="0.25">
      <c r="A292" t="s">
        <v>0</v>
      </c>
      <c r="B292" s="1">
        <v>42004</v>
      </c>
      <c r="C292" t="s">
        <v>1</v>
      </c>
      <c r="D292" t="s">
        <v>16</v>
      </c>
      <c r="F292" s="2">
        <v>45986.11859953704</v>
      </c>
      <c r="G292" t="str">
        <f>VLOOKUP(D292,MAP!B:C,2,0)</f>
        <v>Operating Expenses</v>
      </c>
      <c r="H292" t="str">
        <f>VLOOKUP(D292,MAP!B:G,4,0)</f>
        <v>Depr. &amp; Amort.</v>
      </c>
    </row>
    <row r="293" spans="1:8" x14ac:dyDescent="0.25">
      <c r="A293" t="s">
        <v>0</v>
      </c>
      <c r="B293" s="1">
        <v>41639</v>
      </c>
      <c r="C293" t="s">
        <v>1</v>
      </c>
      <c r="D293" t="s">
        <v>16</v>
      </c>
      <c r="F293" s="2">
        <v>45986.11859953704</v>
      </c>
      <c r="G293" t="str">
        <f>VLOOKUP(D293,MAP!B:C,2,0)</f>
        <v>Operating Expenses</v>
      </c>
      <c r="H293" t="str">
        <f>VLOOKUP(D293,MAP!B:G,4,0)</f>
        <v>Depr. &amp; Amort.</v>
      </c>
    </row>
    <row r="294" spans="1:8" x14ac:dyDescent="0.25">
      <c r="A294" t="s">
        <v>0</v>
      </c>
      <c r="B294" s="1">
        <v>41274</v>
      </c>
      <c r="C294" t="s">
        <v>1</v>
      </c>
      <c r="D294" t="s">
        <v>16</v>
      </c>
      <c r="F294" s="2">
        <v>45986.11859953704</v>
      </c>
      <c r="G294" t="str">
        <f>VLOOKUP(D294,MAP!B:C,2,0)</f>
        <v>Operating Expenses</v>
      </c>
      <c r="H294" t="str">
        <f>VLOOKUP(D294,MAP!B:G,4,0)</f>
        <v>Depr. &amp; Amort.</v>
      </c>
    </row>
    <row r="295" spans="1:8" x14ac:dyDescent="0.25">
      <c r="A295" t="s">
        <v>0</v>
      </c>
      <c r="B295" s="1">
        <v>40908</v>
      </c>
      <c r="C295" t="s">
        <v>1</v>
      </c>
      <c r="D295" t="s">
        <v>16</v>
      </c>
      <c r="F295" s="2">
        <v>45986.11859953704</v>
      </c>
      <c r="G295" t="str">
        <f>VLOOKUP(D295,MAP!B:C,2,0)</f>
        <v>Operating Expenses</v>
      </c>
      <c r="H295" t="str">
        <f>VLOOKUP(D295,MAP!B:G,4,0)</f>
        <v>Depr. &amp; Amort.</v>
      </c>
    </row>
    <row r="296" spans="1:8" x14ac:dyDescent="0.25">
      <c r="A296" t="s">
        <v>0</v>
      </c>
      <c r="B296" s="1">
        <v>40543</v>
      </c>
      <c r="C296" t="s">
        <v>1</v>
      </c>
      <c r="D296" t="s">
        <v>16</v>
      </c>
      <c r="F296" s="2">
        <v>45986.11859953704</v>
      </c>
      <c r="G296" t="str">
        <f>VLOOKUP(D296,MAP!B:C,2,0)</f>
        <v>Operating Expenses</v>
      </c>
      <c r="H296" t="str">
        <f>VLOOKUP(D296,MAP!B:G,4,0)</f>
        <v>Depr. &amp; Amort.</v>
      </c>
    </row>
    <row r="297" spans="1:8" x14ac:dyDescent="0.25">
      <c r="A297" t="s">
        <v>0</v>
      </c>
      <c r="B297" s="1">
        <v>40178</v>
      </c>
      <c r="C297" t="s">
        <v>1</v>
      </c>
      <c r="D297" t="s">
        <v>16</v>
      </c>
      <c r="F297" s="2">
        <v>45986.11859953704</v>
      </c>
      <c r="G297" t="str">
        <f>VLOOKUP(D297,MAP!B:C,2,0)</f>
        <v>Operating Expenses</v>
      </c>
      <c r="H297" t="str">
        <f>VLOOKUP(D297,MAP!B:G,4,0)</f>
        <v>Depr. &amp; Amort.</v>
      </c>
    </row>
    <row r="298" spans="1:8" x14ac:dyDescent="0.25">
      <c r="A298" t="s">
        <v>0</v>
      </c>
      <c r="B298" s="1">
        <v>39813</v>
      </c>
      <c r="C298" t="s">
        <v>1</v>
      </c>
      <c r="D298" t="s">
        <v>16</v>
      </c>
      <c r="F298" s="2">
        <v>45986.11859953704</v>
      </c>
      <c r="G298" t="str">
        <f>VLOOKUP(D298,MAP!B:C,2,0)</f>
        <v>Operating Expenses</v>
      </c>
      <c r="H298" t="str">
        <f>VLOOKUP(D298,MAP!B:G,4,0)</f>
        <v>Depr. &amp; Amort.</v>
      </c>
    </row>
    <row r="299" spans="1:8" x14ac:dyDescent="0.25">
      <c r="A299" t="s">
        <v>0</v>
      </c>
      <c r="B299" s="1">
        <v>39447</v>
      </c>
      <c r="C299" t="s">
        <v>1</v>
      </c>
      <c r="D299" t="s">
        <v>16</v>
      </c>
      <c r="F299" s="2">
        <v>45986.11859953704</v>
      </c>
      <c r="G299" t="str">
        <f>VLOOKUP(D299,MAP!B:C,2,0)</f>
        <v>Operating Expenses</v>
      </c>
      <c r="H299" t="str">
        <f>VLOOKUP(D299,MAP!B:G,4,0)</f>
        <v>Depr. &amp; Amort.</v>
      </c>
    </row>
    <row r="300" spans="1:8" x14ac:dyDescent="0.25">
      <c r="A300" t="s">
        <v>0</v>
      </c>
      <c r="B300" s="1">
        <v>39082</v>
      </c>
      <c r="C300" t="s">
        <v>1</v>
      </c>
      <c r="D300" t="s">
        <v>16</v>
      </c>
      <c r="F300" s="2">
        <v>45986.11859953704</v>
      </c>
      <c r="G300" t="str">
        <f>VLOOKUP(D300,MAP!B:C,2,0)</f>
        <v>Operating Expenses</v>
      </c>
      <c r="H300" t="str">
        <f>VLOOKUP(D300,MAP!B:G,4,0)</f>
        <v>Depr. &amp; Amort.</v>
      </c>
    </row>
    <row r="301" spans="1:8" x14ac:dyDescent="0.25">
      <c r="A301" t="s">
        <v>0</v>
      </c>
      <c r="B301" s="1">
        <v>38717</v>
      </c>
      <c r="C301" t="s">
        <v>1</v>
      </c>
      <c r="D301" t="s">
        <v>16</v>
      </c>
      <c r="F301" s="2">
        <v>45986.11859953704</v>
      </c>
      <c r="G301" t="str">
        <f>VLOOKUP(D301,MAP!B:C,2,0)</f>
        <v>Operating Expenses</v>
      </c>
      <c r="H301" t="str">
        <f>VLOOKUP(D301,MAP!B:G,4,0)</f>
        <v>Depr. &amp; Amort.</v>
      </c>
    </row>
    <row r="302" spans="1:8" x14ac:dyDescent="0.25">
      <c r="A302" t="s">
        <v>0</v>
      </c>
      <c r="B302" s="1">
        <v>45657</v>
      </c>
      <c r="C302" t="s">
        <v>1</v>
      </c>
      <c r="D302" t="s">
        <v>17</v>
      </c>
      <c r="E302">
        <v>2266000000</v>
      </c>
      <c r="F302" s="2">
        <v>45986.11859953704</v>
      </c>
      <c r="G302" t="str">
        <f>VLOOKUP(D302,MAP!B:C,2,0)</f>
        <v>Operating Expenses</v>
      </c>
      <c r="H302" t="str">
        <f>VLOOKUP(D302,MAP!B:G,4,0)</f>
        <v>Depr. &amp; Amort.</v>
      </c>
    </row>
    <row r="303" spans="1:8" x14ac:dyDescent="0.25">
      <c r="A303" t="s">
        <v>0</v>
      </c>
      <c r="B303" s="1">
        <v>45291</v>
      </c>
      <c r="C303" t="s">
        <v>1</v>
      </c>
      <c r="D303" t="s">
        <v>17</v>
      </c>
      <c r="E303">
        <v>1540000000</v>
      </c>
      <c r="F303" s="2">
        <v>45986.11859953704</v>
      </c>
      <c r="G303" t="str">
        <f>VLOOKUP(D303,MAP!B:C,2,0)</f>
        <v>Operating Expenses</v>
      </c>
      <c r="H303" t="str">
        <f>VLOOKUP(D303,MAP!B:G,4,0)</f>
        <v>Depr. &amp; Amort.</v>
      </c>
    </row>
    <row r="304" spans="1:8" x14ac:dyDescent="0.25">
      <c r="A304" t="s">
        <v>0</v>
      </c>
      <c r="B304" s="1">
        <v>44926</v>
      </c>
      <c r="C304" t="s">
        <v>1</v>
      </c>
      <c r="D304" t="s">
        <v>17</v>
      </c>
      <c r="E304">
        <v>1557000000</v>
      </c>
      <c r="F304" s="2">
        <v>45986.11859953704</v>
      </c>
      <c r="G304" t="str">
        <f>VLOOKUP(D304,MAP!B:C,2,0)</f>
        <v>Operating Expenses</v>
      </c>
      <c r="H304" t="str">
        <f>VLOOKUP(D304,MAP!B:G,4,0)</f>
        <v>Depr. &amp; Amort.</v>
      </c>
    </row>
    <row r="305" spans="1:8" x14ac:dyDescent="0.25">
      <c r="A305" t="s">
        <v>0</v>
      </c>
      <c r="B305" s="1">
        <v>44561</v>
      </c>
      <c r="C305" t="s">
        <v>1</v>
      </c>
      <c r="D305" t="s">
        <v>17</v>
      </c>
      <c r="E305">
        <v>1360000000</v>
      </c>
      <c r="F305" s="2">
        <v>45986.11859953704</v>
      </c>
      <c r="G305" t="str">
        <f>VLOOKUP(D305,MAP!B:C,2,0)</f>
        <v>Operating Expenses</v>
      </c>
      <c r="H305" t="str">
        <f>VLOOKUP(D305,MAP!B:G,4,0)</f>
        <v>Depr. &amp; Amort.</v>
      </c>
    </row>
    <row r="306" spans="1:8" x14ac:dyDescent="0.25">
      <c r="A306" t="s">
        <v>0</v>
      </c>
      <c r="B306" s="1">
        <v>44196</v>
      </c>
      <c r="C306" t="s">
        <v>1</v>
      </c>
      <c r="D306" t="s">
        <v>17</v>
      </c>
      <c r="E306">
        <v>1772000000</v>
      </c>
      <c r="F306" s="2">
        <v>45986.11859953704</v>
      </c>
      <c r="G306" t="str">
        <f>VLOOKUP(D306,MAP!B:C,2,0)</f>
        <v>Operating Expenses</v>
      </c>
      <c r="H306" t="str">
        <f>VLOOKUP(D306,MAP!B:G,4,0)</f>
        <v>Depr. &amp; Amort.</v>
      </c>
    </row>
    <row r="307" spans="1:8" x14ac:dyDescent="0.25">
      <c r="A307" t="s">
        <v>0</v>
      </c>
      <c r="B307" s="1">
        <v>43830</v>
      </c>
      <c r="C307" t="s">
        <v>1</v>
      </c>
      <c r="D307" t="s">
        <v>17</v>
      </c>
      <c r="E307">
        <v>2680000000</v>
      </c>
      <c r="F307" s="2">
        <v>45986.11859953704</v>
      </c>
      <c r="G307" t="str">
        <f>VLOOKUP(D307,MAP!B:C,2,0)</f>
        <v>Operating Expenses</v>
      </c>
      <c r="H307" t="str">
        <f>VLOOKUP(D307,MAP!B:G,4,0)</f>
        <v>Depr. &amp; Amort.</v>
      </c>
    </row>
    <row r="308" spans="1:8" x14ac:dyDescent="0.25">
      <c r="A308" t="s">
        <v>0</v>
      </c>
      <c r="B308" s="1">
        <v>43465</v>
      </c>
      <c r="C308" t="s">
        <v>1</v>
      </c>
      <c r="D308" t="s">
        <v>17</v>
      </c>
      <c r="E308">
        <v>140000000</v>
      </c>
      <c r="F308" s="2">
        <v>45986.11859953704</v>
      </c>
      <c r="G308" t="str">
        <f>VLOOKUP(D308,MAP!B:C,2,0)</f>
        <v>Operating Expenses</v>
      </c>
      <c r="H308" t="str">
        <f>VLOOKUP(D308,MAP!B:G,4,0)</f>
        <v>Depr. &amp; Amort.</v>
      </c>
    </row>
    <row r="309" spans="1:8" x14ac:dyDescent="0.25">
      <c r="A309" t="s">
        <v>0</v>
      </c>
      <c r="B309" s="1">
        <v>43100</v>
      </c>
      <c r="C309" t="s">
        <v>1</v>
      </c>
      <c r="D309" t="s">
        <v>17</v>
      </c>
      <c r="E309">
        <v>144000000</v>
      </c>
      <c r="F309" s="2">
        <v>45986.11859953704</v>
      </c>
      <c r="G309" t="str">
        <f>VLOOKUP(D309,MAP!B:C,2,0)</f>
        <v>Operating Expenses</v>
      </c>
      <c r="H309" t="str">
        <f>VLOOKUP(D309,MAP!B:G,4,0)</f>
        <v>Depr. &amp; Amort.</v>
      </c>
    </row>
    <row r="310" spans="1:8" x14ac:dyDescent="0.25">
      <c r="A310" t="s">
        <v>0</v>
      </c>
      <c r="B310" s="1">
        <v>42735</v>
      </c>
      <c r="C310" t="s">
        <v>1</v>
      </c>
      <c r="D310" t="s">
        <v>17</v>
      </c>
      <c r="E310">
        <v>158000000</v>
      </c>
      <c r="F310" s="2">
        <v>45986.11859953704</v>
      </c>
      <c r="G310" t="str">
        <f>VLOOKUP(D310,MAP!B:C,2,0)</f>
        <v>Operating Expenses</v>
      </c>
      <c r="H310" t="str">
        <f>VLOOKUP(D310,MAP!B:G,4,0)</f>
        <v>Depr. &amp; Amort.</v>
      </c>
    </row>
    <row r="311" spans="1:8" x14ac:dyDescent="0.25">
      <c r="A311" t="s">
        <v>0</v>
      </c>
      <c r="B311" s="1">
        <v>42369</v>
      </c>
      <c r="C311" t="s">
        <v>1</v>
      </c>
      <c r="D311" t="s">
        <v>17</v>
      </c>
      <c r="E311">
        <v>324000000</v>
      </c>
      <c r="F311" s="2">
        <v>45986.11859953704</v>
      </c>
      <c r="G311" t="str">
        <f>VLOOKUP(D311,MAP!B:C,2,0)</f>
        <v>Operating Expenses</v>
      </c>
      <c r="H311" t="str">
        <f>VLOOKUP(D311,MAP!B:G,4,0)</f>
        <v>Depr. &amp; Amort.</v>
      </c>
    </row>
    <row r="312" spans="1:8" x14ac:dyDescent="0.25">
      <c r="A312" t="s">
        <v>0</v>
      </c>
      <c r="B312" s="1">
        <v>42004</v>
      </c>
      <c r="C312" t="s">
        <v>1</v>
      </c>
      <c r="D312" t="s">
        <v>17</v>
      </c>
      <c r="E312">
        <v>410000000</v>
      </c>
      <c r="F312" s="2">
        <v>45986.11859953704</v>
      </c>
      <c r="G312" t="str">
        <f>VLOOKUP(D312,MAP!B:C,2,0)</f>
        <v>Operating Expenses</v>
      </c>
      <c r="H312" t="str">
        <f>VLOOKUP(D312,MAP!B:G,4,0)</f>
        <v>Depr. &amp; Amort.</v>
      </c>
    </row>
    <row r="313" spans="1:8" x14ac:dyDescent="0.25">
      <c r="A313" t="s">
        <v>0</v>
      </c>
      <c r="B313" s="1">
        <v>41639</v>
      </c>
      <c r="C313" t="s">
        <v>1</v>
      </c>
      <c r="D313" t="s">
        <v>17</v>
      </c>
      <c r="E313">
        <v>410000000</v>
      </c>
      <c r="F313" s="2">
        <v>45986.11859953704</v>
      </c>
      <c r="G313" t="str">
        <f>VLOOKUP(D313,MAP!B:C,2,0)</f>
        <v>Operating Expenses</v>
      </c>
      <c r="H313" t="str">
        <f>VLOOKUP(D313,MAP!B:G,4,0)</f>
        <v>Depr. &amp; Amort.</v>
      </c>
    </row>
    <row r="314" spans="1:8" x14ac:dyDescent="0.25">
      <c r="A314" t="s">
        <v>0</v>
      </c>
      <c r="B314" s="1">
        <v>41274</v>
      </c>
      <c r="C314" t="s">
        <v>1</v>
      </c>
      <c r="D314" t="s">
        <v>17</v>
      </c>
      <c r="E314">
        <v>7109000000</v>
      </c>
      <c r="F314" s="2">
        <v>45986.11859953704</v>
      </c>
      <c r="G314" t="str">
        <f>VLOOKUP(D314,MAP!B:C,2,0)</f>
        <v>Operating Expenses</v>
      </c>
      <c r="H314" t="str">
        <f>VLOOKUP(D314,MAP!B:G,4,0)</f>
        <v>Depr. &amp; Amort.</v>
      </c>
    </row>
    <row r="315" spans="1:8" x14ac:dyDescent="0.25">
      <c r="A315" t="s">
        <v>0</v>
      </c>
      <c r="B315" s="1">
        <v>40908</v>
      </c>
      <c r="C315" t="s">
        <v>1</v>
      </c>
      <c r="D315" t="s">
        <v>17</v>
      </c>
      <c r="E315">
        <v>4249000000</v>
      </c>
      <c r="F315" s="2">
        <v>45986.11859953704</v>
      </c>
      <c r="G315" t="str">
        <f>VLOOKUP(D315,MAP!B:C,2,0)</f>
        <v>Operating Expenses</v>
      </c>
      <c r="H315" t="str">
        <f>VLOOKUP(D315,MAP!B:G,4,0)</f>
        <v>Depr. &amp; Amort.</v>
      </c>
    </row>
    <row r="316" spans="1:8" x14ac:dyDescent="0.25">
      <c r="A316" t="s">
        <v>0</v>
      </c>
      <c r="B316" s="1">
        <v>40543</v>
      </c>
      <c r="C316" t="s">
        <v>1</v>
      </c>
      <c r="D316" t="s">
        <v>17</v>
      </c>
      <c r="E316">
        <v>3083000000</v>
      </c>
      <c r="F316" s="2">
        <v>45986.11859953704</v>
      </c>
      <c r="G316" t="str">
        <f>VLOOKUP(D316,MAP!B:C,2,0)</f>
        <v>Operating Expenses</v>
      </c>
      <c r="H316" t="str">
        <f>VLOOKUP(D316,MAP!B:G,4,0)</f>
        <v>Depr. &amp; Amort.</v>
      </c>
    </row>
    <row r="317" spans="1:8" x14ac:dyDescent="0.25">
      <c r="A317" t="s">
        <v>0</v>
      </c>
      <c r="B317" s="1">
        <v>40178</v>
      </c>
      <c r="C317" t="s">
        <v>1</v>
      </c>
      <c r="D317" t="s">
        <v>17</v>
      </c>
      <c r="E317">
        <v>5213000000</v>
      </c>
      <c r="F317" s="2">
        <v>45986.11859953704</v>
      </c>
      <c r="G317" t="str">
        <f>VLOOKUP(D317,MAP!B:C,2,0)</f>
        <v>Operating Expenses</v>
      </c>
      <c r="H317" t="str">
        <f>VLOOKUP(D317,MAP!B:G,4,0)</f>
        <v>Depr. &amp; Amort.</v>
      </c>
    </row>
    <row r="318" spans="1:8" x14ac:dyDescent="0.25">
      <c r="A318" t="s">
        <v>0</v>
      </c>
      <c r="B318" s="1">
        <v>39813</v>
      </c>
      <c r="C318" t="s">
        <v>1</v>
      </c>
      <c r="D318" t="s">
        <v>17</v>
      </c>
      <c r="E318">
        <v>7850258000</v>
      </c>
      <c r="F318" s="2">
        <v>45986.11859953704</v>
      </c>
      <c r="G318" t="str">
        <f>VLOOKUP(D318,MAP!B:C,2,0)</f>
        <v>Operating Expenses</v>
      </c>
      <c r="H318" t="str">
        <f>VLOOKUP(D318,MAP!B:G,4,0)</f>
        <v>Depr. &amp; Amort.</v>
      </c>
    </row>
    <row r="319" spans="1:8" x14ac:dyDescent="0.25">
      <c r="A319" t="s">
        <v>0</v>
      </c>
      <c r="B319" s="1">
        <v>39447</v>
      </c>
      <c r="C319" t="s">
        <v>1</v>
      </c>
      <c r="D319" t="s">
        <v>17</v>
      </c>
      <c r="E319">
        <v>2347791000</v>
      </c>
      <c r="F319" s="2">
        <v>45986.11859953704</v>
      </c>
      <c r="G319" t="str">
        <f>VLOOKUP(D319,MAP!B:C,2,0)</f>
        <v>Operating Expenses</v>
      </c>
      <c r="H319" t="str">
        <f>VLOOKUP(D319,MAP!B:G,4,0)</f>
        <v>Depr. &amp; Amort.</v>
      </c>
    </row>
    <row r="320" spans="1:8" x14ac:dyDescent="0.25">
      <c r="A320" t="s">
        <v>0</v>
      </c>
      <c r="B320" s="1">
        <v>39082</v>
      </c>
      <c r="C320" t="s">
        <v>1</v>
      </c>
      <c r="D320" t="s">
        <v>17</v>
      </c>
      <c r="E320">
        <v>1816359000</v>
      </c>
      <c r="F320" s="2">
        <v>45986.11859953704</v>
      </c>
      <c r="G320" t="str">
        <f>VLOOKUP(D320,MAP!B:C,2,0)</f>
        <v>Operating Expenses</v>
      </c>
      <c r="H320" t="str">
        <f>VLOOKUP(D320,MAP!B:G,4,0)</f>
        <v>Depr. &amp; Amort.</v>
      </c>
    </row>
    <row r="321" spans="1:8" x14ac:dyDescent="0.25">
      <c r="A321" t="s">
        <v>0</v>
      </c>
      <c r="B321" s="1">
        <v>38717</v>
      </c>
      <c r="C321" t="s">
        <v>1</v>
      </c>
      <c r="D321" t="s">
        <v>17</v>
      </c>
      <c r="E321">
        <v>1415682000</v>
      </c>
      <c r="F321" s="2">
        <v>45986.11859953704</v>
      </c>
      <c r="G321" t="str">
        <f>VLOOKUP(D321,MAP!B:C,2,0)</f>
        <v>Operating Expenses</v>
      </c>
      <c r="H321" t="str">
        <f>VLOOKUP(D321,MAP!B:G,4,0)</f>
        <v>Depr. &amp; Amort.</v>
      </c>
    </row>
    <row r="322" spans="1:8" x14ac:dyDescent="0.25">
      <c r="A322" t="s">
        <v>0</v>
      </c>
      <c r="B322" s="1">
        <v>45657</v>
      </c>
      <c r="C322" t="s">
        <v>1</v>
      </c>
      <c r="D322" t="s">
        <v>18</v>
      </c>
      <c r="E322">
        <v>1535000000</v>
      </c>
      <c r="F322" s="2">
        <v>45986.11859953704</v>
      </c>
      <c r="G322" t="str">
        <f>VLOOKUP(D322,MAP!B:C,2,0)</f>
        <v>Income Before Tax</v>
      </c>
      <c r="H322" t="str">
        <f>VLOOKUP(D322,MAP!B:G,4,0)</f>
        <v>Pre-Tax Income</v>
      </c>
    </row>
    <row r="323" spans="1:8" x14ac:dyDescent="0.25">
      <c r="A323" t="s">
        <v>0</v>
      </c>
      <c r="B323" s="1">
        <v>45291</v>
      </c>
      <c r="C323" t="s">
        <v>1</v>
      </c>
      <c r="D323" t="s">
        <v>18</v>
      </c>
      <c r="E323">
        <v>2883000000</v>
      </c>
      <c r="F323" s="2">
        <v>45986.11859953704</v>
      </c>
      <c r="G323" t="str">
        <f>VLOOKUP(D323,MAP!B:C,2,0)</f>
        <v>Income Before Tax</v>
      </c>
      <c r="H323" t="str">
        <f>VLOOKUP(D323,MAP!B:G,4,0)</f>
        <v>Pre-Tax Income</v>
      </c>
    </row>
    <row r="324" spans="1:8" x14ac:dyDescent="0.25">
      <c r="A324" t="s">
        <v>0</v>
      </c>
      <c r="B324" s="1">
        <v>44926</v>
      </c>
      <c r="C324" t="s">
        <v>1</v>
      </c>
      <c r="D324" t="s">
        <v>18</v>
      </c>
      <c r="E324">
        <v>5734000000</v>
      </c>
      <c r="F324" s="2">
        <v>45986.11859953704</v>
      </c>
      <c r="G324" t="str">
        <f>VLOOKUP(D324,MAP!B:C,2,0)</f>
        <v>Income Before Tax</v>
      </c>
      <c r="H324" t="str">
        <f>VLOOKUP(D324,MAP!B:G,4,0)</f>
        <v>Pre-Tax Income</v>
      </c>
    </row>
    <row r="325" spans="1:8" x14ac:dyDescent="0.25">
      <c r="A325" t="s">
        <v>0</v>
      </c>
      <c r="B325" s="1">
        <v>44561</v>
      </c>
      <c r="C325" t="s">
        <v>1</v>
      </c>
      <c r="D325" t="s">
        <v>18</v>
      </c>
      <c r="E325">
        <v>1891000000</v>
      </c>
      <c r="F325" s="2">
        <v>45986.11859953704</v>
      </c>
      <c r="G325" t="str">
        <f>VLOOKUP(D325,MAP!B:C,2,0)</f>
        <v>Income Before Tax</v>
      </c>
      <c r="H325" t="str">
        <f>VLOOKUP(D325,MAP!B:G,4,0)</f>
        <v>Pre-Tax Income</v>
      </c>
    </row>
    <row r="326" spans="1:8" x14ac:dyDescent="0.25">
      <c r="A326" t="s">
        <v>0</v>
      </c>
      <c r="B326" s="1">
        <v>44196</v>
      </c>
      <c r="C326" t="s">
        <v>1</v>
      </c>
      <c r="D326" t="s">
        <v>18</v>
      </c>
      <c r="E326">
        <v>-4840000000</v>
      </c>
      <c r="F326" s="2">
        <v>45986.11859953704</v>
      </c>
      <c r="G326" t="str">
        <f>VLOOKUP(D326,MAP!B:C,2,0)</f>
        <v>Income Before Tax</v>
      </c>
      <c r="H326" t="str">
        <f>VLOOKUP(D326,MAP!B:G,4,0)</f>
        <v>Pre-Tax Income</v>
      </c>
    </row>
    <row r="327" spans="1:8" x14ac:dyDescent="0.25">
      <c r="A327" t="s">
        <v>0</v>
      </c>
      <c r="B327" s="1">
        <v>43830</v>
      </c>
      <c r="C327" t="s">
        <v>1</v>
      </c>
      <c r="D327" t="s">
        <v>18</v>
      </c>
      <c r="E327">
        <v>-3008000000</v>
      </c>
      <c r="F327" s="2">
        <v>45986.11859953704</v>
      </c>
      <c r="G327" t="str">
        <f>VLOOKUP(D327,MAP!B:C,2,0)</f>
        <v>Income Before Tax</v>
      </c>
      <c r="H327" t="str">
        <f>VLOOKUP(D327,MAP!B:G,4,0)</f>
        <v>Pre-Tax Income</v>
      </c>
    </row>
    <row r="328" spans="1:8" x14ac:dyDescent="0.25">
      <c r="A328" t="s">
        <v>0</v>
      </c>
      <c r="B328" s="1">
        <v>43465</v>
      </c>
      <c r="C328" t="s">
        <v>1</v>
      </c>
      <c r="D328" t="s">
        <v>18</v>
      </c>
      <c r="E328">
        <v>958000000</v>
      </c>
      <c r="F328" s="2">
        <v>45986.11859953704</v>
      </c>
      <c r="G328" t="str">
        <f>VLOOKUP(D328,MAP!B:C,2,0)</f>
        <v>Income Before Tax</v>
      </c>
      <c r="H328" t="str">
        <f>VLOOKUP(D328,MAP!B:G,4,0)</f>
        <v>Pre-Tax Income</v>
      </c>
    </row>
    <row r="329" spans="1:8" x14ac:dyDescent="0.25">
      <c r="A329" t="s">
        <v>0</v>
      </c>
      <c r="B329" s="1">
        <v>43100</v>
      </c>
      <c r="C329" t="s">
        <v>1</v>
      </c>
      <c r="D329" t="s">
        <v>18</v>
      </c>
      <c r="E329">
        <v>918000000</v>
      </c>
      <c r="F329" s="2">
        <v>45986.11859953704</v>
      </c>
      <c r="G329" t="str">
        <f>VLOOKUP(D329,MAP!B:C,2,0)</f>
        <v>Income Before Tax</v>
      </c>
      <c r="H329" t="str">
        <f>VLOOKUP(D329,MAP!B:G,4,0)</f>
        <v>Pre-Tax Income</v>
      </c>
    </row>
    <row r="330" spans="1:8" x14ac:dyDescent="0.25">
      <c r="A330" t="s">
        <v>0</v>
      </c>
      <c r="B330" s="1">
        <v>42735</v>
      </c>
      <c r="C330" t="s">
        <v>1</v>
      </c>
      <c r="D330" t="s">
        <v>18</v>
      </c>
      <c r="E330">
        <v>-1682000000</v>
      </c>
      <c r="F330" s="2">
        <v>45986.11859953704</v>
      </c>
      <c r="G330" t="str">
        <f>VLOOKUP(D330,MAP!B:C,2,0)</f>
        <v>Income Before Tax</v>
      </c>
      <c r="H330" t="str">
        <f>VLOOKUP(D330,MAP!B:G,4,0)</f>
        <v>Pre-Tax Income</v>
      </c>
    </row>
    <row r="331" spans="1:8" x14ac:dyDescent="0.25">
      <c r="A331" t="s">
        <v>0</v>
      </c>
      <c r="B331" s="1">
        <v>42369</v>
      </c>
      <c r="C331" t="s">
        <v>1</v>
      </c>
      <c r="D331" t="s">
        <v>18</v>
      </c>
      <c r="E331">
        <v>-28226000000</v>
      </c>
      <c r="F331" s="2">
        <v>45986.11859953704</v>
      </c>
      <c r="G331" t="str">
        <f>VLOOKUP(D331,MAP!B:C,2,0)</f>
        <v>Income Before Tax</v>
      </c>
      <c r="H331" t="str">
        <f>VLOOKUP(D331,MAP!B:G,4,0)</f>
        <v>Pre-Tax Income</v>
      </c>
    </row>
    <row r="332" spans="1:8" x14ac:dyDescent="0.25">
      <c r="A332" t="s">
        <v>0</v>
      </c>
      <c r="B332" s="1">
        <v>42004</v>
      </c>
      <c r="C332" t="s">
        <v>1</v>
      </c>
      <c r="D332" t="s">
        <v>18</v>
      </c>
      <c r="E332">
        <v>-2906000000</v>
      </c>
      <c r="F332" s="2">
        <v>45986.11859953704</v>
      </c>
      <c r="G332" t="str">
        <f>VLOOKUP(D332,MAP!B:C,2,0)</f>
        <v>Income Before Tax</v>
      </c>
      <c r="H332" t="str">
        <f>VLOOKUP(D332,MAP!B:G,4,0)</f>
        <v>Pre-Tax Income</v>
      </c>
    </row>
    <row r="333" spans="1:8" x14ac:dyDescent="0.25">
      <c r="A333" t="s">
        <v>0</v>
      </c>
      <c r="B333" s="1">
        <v>41639</v>
      </c>
      <c r="C333" t="s">
        <v>1</v>
      </c>
      <c r="D333" t="s">
        <v>18</v>
      </c>
      <c r="E333">
        <v>4216000000</v>
      </c>
      <c r="F333" s="2">
        <v>45986.11859953704</v>
      </c>
      <c r="G333" t="str">
        <f>VLOOKUP(D333,MAP!B:C,2,0)</f>
        <v>Income Before Tax</v>
      </c>
      <c r="H333" t="str">
        <f>VLOOKUP(D333,MAP!B:G,4,0)</f>
        <v>Pre-Tax Income</v>
      </c>
    </row>
    <row r="334" spans="1:8" x14ac:dyDescent="0.25">
      <c r="A334" t="s">
        <v>0</v>
      </c>
      <c r="B334" s="1">
        <v>41274</v>
      </c>
      <c r="C334" t="s">
        <v>1</v>
      </c>
      <c r="D334" t="s">
        <v>18</v>
      </c>
      <c r="E334">
        <v>4877000000</v>
      </c>
      <c r="F334" s="2">
        <v>45986.11859953704</v>
      </c>
      <c r="G334" t="str">
        <f>VLOOKUP(D334,MAP!B:C,2,0)</f>
        <v>Income Before Tax</v>
      </c>
      <c r="H334" t="str">
        <f>VLOOKUP(D334,MAP!B:G,4,0)</f>
        <v>Pre-Tax Income</v>
      </c>
    </row>
    <row r="335" spans="1:8" x14ac:dyDescent="0.25">
      <c r="A335" t="s">
        <v>0</v>
      </c>
      <c r="B335" s="1">
        <v>40908</v>
      </c>
      <c r="C335" t="s">
        <v>1</v>
      </c>
      <c r="D335" t="s">
        <v>18</v>
      </c>
      <c r="E335">
        <v>8093000000</v>
      </c>
      <c r="F335" s="2">
        <v>45986.11859953704</v>
      </c>
      <c r="G335" t="str">
        <f>VLOOKUP(D335,MAP!B:C,2,0)</f>
        <v>Income Before Tax</v>
      </c>
      <c r="H335" t="str">
        <f>VLOOKUP(D335,MAP!B:G,4,0)</f>
        <v>Pre-Tax Income</v>
      </c>
    </row>
    <row r="336" spans="1:8" x14ac:dyDescent="0.25">
      <c r="A336" t="s">
        <v>0</v>
      </c>
      <c r="B336" s="1">
        <v>40543</v>
      </c>
      <c r="C336" t="s">
        <v>1</v>
      </c>
      <c r="D336" t="s">
        <v>18</v>
      </c>
      <c r="E336">
        <v>5206000000</v>
      </c>
      <c r="F336" s="2">
        <v>45986.11859953704</v>
      </c>
      <c r="G336" t="str">
        <f>VLOOKUP(D336,MAP!B:C,2,0)</f>
        <v>Income Before Tax</v>
      </c>
      <c r="H336" t="str">
        <f>VLOOKUP(D336,MAP!B:G,4,0)</f>
        <v>Pre-Tax Income</v>
      </c>
    </row>
    <row r="337" spans="1:8" x14ac:dyDescent="0.25">
      <c r="A337" t="s">
        <v>0</v>
      </c>
      <c r="B337" s="1">
        <v>40178</v>
      </c>
      <c r="C337" t="s">
        <v>1</v>
      </c>
      <c r="D337" t="s">
        <v>18</v>
      </c>
      <c r="E337">
        <v>326391000</v>
      </c>
      <c r="F337" s="2">
        <v>45986.11859953704</v>
      </c>
      <c r="G337" t="str">
        <f>VLOOKUP(D337,MAP!B:C,2,0)</f>
        <v>Income Before Tax</v>
      </c>
      <c r="H337" t="str">
        <f>VLOOKUP(D337,MAP!B:G,4,0)</f>
        <v>Pre-Tax Income</v>
      </c>
    </row>
    <row r="338" spans="1:8" x14ac:dyDescent="0.25">
      <c r="A338" t="s">
        <v>0</v>
      </c>
      <c r="B338" s="1">
        <v>39813</v>
      </c>
      <c r="C338" t="s">
        <v>1</v>
      </c>
      <c r="D338" t="s">
        <v>18</v>
      </c>
      <c r="E338">
        <v>932392000</v>
      </c>
      <c r="F338" s="2">
        <v>45986.11859953704</v>
      </c>
      <c r="G338" t="str">
        <f>VLOOKUP(D338,MAP!B:C,2,0)</f>
        <v>Income Before Tax</v>
      </c>
      <c r="H338" t="str">
        <f>VLOOKUP(D338,MAP!B:G,4,0)</f>
        <v>Pre-Tax Income</v>
      </c>
    </row>
    <row r="339" spans="1:8" x14ac:dyDescent="0.25">
      <c r="A339" t="s">
        <v>0</v>
      </c>
      <c r="B339" s="1">
        <v>39447</v>
      </c>
      <c r="C339" t="s">
        <v>1</v>
      </c>
      <c r="D339" t="s">
        <v>18</v>
      </c>
      <c r="E339">
        <v>4672612000</v>
      </c>
      <c r="F339" s="2">
        <v>45986.11859953704</v>
      </c>
      <c r="G339" t="str">
        <f>VLOOKUP(D339,MAP!B:C,2,0)</f>
        <v>Income Before Tax</v>
      </c>
      <c r="H339" t="str">
        <f>VLOOKUP(D339,MAP!B:G,4,0)</f>
        <v>Pre-Tax Income</v>
      </c>
    </row>
    <row r="340" spans="1:8" x14ac:dyDescent="0.25">
      <c r="A340" t="s">
        <v>0</v>
      </c>
      <c r="B340" s="1">
        <v>39082</v>
      </c>
      <c r="C340" t="s">
        <v>1</v>
      </c>
      <c r="D340" t="s">
        <v>18</v>
      </c>
      <c r="E340">
        <v>4009595000</v>
      </c>
      <c r="F340" s="2">
        <v>45986.11859953704</v>
      </c>
      <c r="G340" t="str">
        <f>VLOOKUP(D340,MAP!B:C,2,0)</f>
        <v>Income Before Tax</v>
      </c>
      <c r="H340" t="str">
        <f>VLOOKUP(D340,MAP!B:G,4,0)</f>
        <v>Pre-Tax Income</v>
      </c>
    </row>
    <row r="341" spans="1:8" x14ac:dyDescent="0.25">
      <c r="A341" t="s">
        <v>0</v>
      </c>
      <c r="B341" s="1">
        <v>38717</v>
      </c>
      <c r="C341" t="s">
        <v>1</v>
      </c>
      <c r="D341" t="s">
        <v>18</v>
      </c>
      <c r="E341">
        <v>4206254000</v>
      </c>
      <c r="F341" s="2">
        <v>45986.11859953704</v>
      </c>
      <c r="G341" t="str">
        <f>VLOOKUP(D341,MAP!B:C,2,0)</f>
        <v>Income Before Tax</v>
      </c>
      <c r="H341" t="str">
        <f>VLOOKUP(D341,MAP!B:G,4,0)</f>
        <v>Pre-Tax Income</v>
      </c>
    </row>
    <row r="342" spans="1:8" x14ac:dyDescent="0.25">
      <c r="A342" t="s">
        <v>0</v>
      </c>
      <c r="B342" s="1">
        <v>45657</v>
      </c>
      <c r="C342" t="s">
        <v>1</v>
      </c>
      <c r="D342" t="s">
        <v>19</v>
      </c>
      <c r="E342">
        <v>417000000</v>
      </c>
      <c r="F342" s="2">
        <v>45986.11859953704</v>
      </c>
      <c r="G342" t="str">
        <f>VLOOKUP(D342,MAP!B:C,2,0)</f>
        <v>Income Tax</v>
      </c>
      <c r="H342" t="str">
        <f>VLOOKUP(D342,MAP!B:G,4,0)</f>
        <v>Tax</v>
      </c>
    </row>
    <row r="343" spans="1:8" x14ac:dyDescent="0.25">
      <c r="A343" t="s">
        <v>0</v>
      </c>
      <c r="B343" s="1">
        <v>45291</v>
      </c>
      <c r="C343" t="s">
        <v>1</v>
      </c>
      <c r="D343" t="s">
        <v>19</v>
      </c>
      <c r="E343">
        <v>-324000000</v>
      </c>
      <c r="F343" s="2">
        <v>45986.11859953704</v>
      </c>
      <c r="G343" t="str">
        <f>VLOOKUP(D343,MAP!B:C,2,0)</f>
        <v>Income Tax</v>
      </c>
      <c r="H343" t="str">
        <f>VLOOKUP(D343,MAP!B:G,4,0)</f>
        <v>Tax</v>
      </c>
    </row>
    <row r="344" spans="1:8" x14ac:dyDescent="0.25">
      <c r="A344" t="s">
        <v>0</v>
      </c>
      <c r="B344" s="1">
        <v>44926</v>
      </c>
      <c r="C344" t="s">
        <v>1</v>
      </c>
      <c r="D344" t="s">
        <v>19</v>
      </c>
      <c r="E344">
        <v>1652000000</v>
      </c>
      <c r="F344" s="2">
        <v>45986.11859953704</v>
      </c>
      <c r="G344" t="str">
        <f>VLOOKUP(D344,MAP!B:C,2,0)</f>
        <v>Income Tax</v>
      </c>
      <c r="H344" t="str">
        <f>VLOOKUP(D344,MAP!B:G,4,0)</f>
        <v>Tax</v>
      </c>
    </row>
    <row r="345" spans="1:8" x14ac:dyDescent="0.25">
      <c r="A345" t="s">
        <v>0</v>
      </c>
      <c r="B345" s="1">
        <v>44561</v>
      </c>
      <c r="C345" t="s">
        <v>1</v>
      </c>
      <c r="D345" t="s">
        <v>19</v>
      </c>
      <c r="E345">
        <v>578000000</v>
      </c>
      <c r="F345" s="2">
        <v>45986.11859953704</v>
      </c>
      <c r="G345" t="str">
        <f>VLOOKUP(D345,MAP!B:C,2,0)</f>
        <v>Income Tax</v>
      </c>
      <c r="H345" t="str">
        <f>VLOOKUP(D345,MAP!B:G,4,0)</f>
        <v>Tax</v>
      </c>
    </row>
    <row r="346" spans="1:8" x14ac:dyDescent="0.25">
      <c r="A346" t="s">
        <v>0</v>
      </c>
      <c r="B346" s="1">
        <v>44196</v>
      </c>
      <c r="C346" t="s">
        <v>1</v>
      </c>
      <c r="D346" t="s">
        <v>19</v>
      </c>
      <c r="E346">
        <v>64000000</v>
      </c>
      <c r="F346" s="2">
        <v>45986.11859953704</v>
      </c>
      <c r="G346" t="str">
        <f>VLOOKUP(D346,MAP!B:C,2,0)</f>
        <v>Income Tax</v>
      </c>
      <c r="H346" t="str">
        <f>VLOOKUP(D346,MAP!B:G,4,0)</f>
        <v>Tax</v>
      </c>
    </row>
    <row r="347" spans="1:8" x14ac:dyDescent="0.25">
      <c r="A347" t="s">
        <v>0</v>
      </c>
      <c r="B347" s="1">
        <v>43830</v>
      </c>
      <c r="C347" t="s">
        <v>1</v>
      </c>
      <c r="D347" t="s">
        <v>19</v>
      </c>
      <c r="E347">
        <v>674000000</v>
      </c>
      <c r="F347" s="2">
        <v>45986.11859953704</v>
      </c>
      <c r="G347" t="str">
        <f>VLOOKUP(D347,MAP!B:C,2,0)</f>
        <v>Income Tax</v>
      </c>
      <c r="H347" t="str">
        <f>VLOOKUP(D347,MAP!B:G,4,0)</f>
        <v>Tax</v>
      </c>
    </row>
    <row r="348" spans="1:8" x14ac:dyDescent="0.25">
      <c r="A348" t="s">
        <v>0</v>
      </c>
      <c r="B348" s="1">
        <v>43465</v>
      </c>
      <c r="C348" t="s">
        <v>1</v>
      </c>
      <c r="D348" t="s">
        <v>19</v>
      </c>
      <c r="E348">
        <v>672000000</v>
      </c>
      <c r="F348" s="2">
        <v>45986.11859953704</v>
      </c>
      <c r="G348" t="str">
        <f>VLOOKUP(D348,MAP!B:C,2,0)</f>
        <v>Income Tax</v>
      </c>
      <c r="H348" t="str">
        <f>VLOOKUP(D348,MAP!B:G,4,0)</f>
        <v>Tax</v>
      </c>
    </row>
    <row r="349" spans="1:8" x14ac:dyDescent="0.25">
      <c r="A349" t="s">
        <v>0</v>
      </c>
      <c r="B349" s="1">
        <v>43100</v>
      </c>
      <c r="C349" t="s">
        <v>1</v>
      </c>
      <c r="D349" t="s">
        <v>19</v>
      </c>
      <c r="E349">
        <v>-585000000</v>
      </c>
      <c r="F349" s="2">
        <v>45986.11859953704</v>
      </c>
      <c r="G349" t="str">
        <f>VLOOKUP(D349,MAP!B:C,2,0)</f>
        <v>Income Tax</v>
      </c>
      <c r="H349" t="str">
        <f>VLOOKUP(D349,MAP!B:G,4,0)</f>
        <v>Tax</v>
      </c>
    </row>
    <row r="350" spans="1:8" x14ac:dyDescent="0.25">
      <c r="A350" t="s">
        <v>0</v>
      </c>
      <c r="B350" s="1">
        <v>42735</v>
      </c>
      <c r="C350" t="s">
        <v>1</v>
      </c>
      <c r="D350" t="s">
        <v>19</v>
      </c>
      <c r="E350">
        <v>-442000000</v>
      </c>
      <c r="F350" s="2">
        <v>45986.11859953704</v>
      </c>
      <c r="G350" t="str">
        <f>VLOOKUP(D350,MAP!B:C,2,0)</f>
        <v>Income Tax</v>
      </c>
      <c r="H350" t="str">
        <f>VLOOKUP(D350,MAP!B:G,4,0)</f>
        <v>Tax</v>
      </c>
    </row>
    <row r="351" spans="1:8" x14ac:dyDescent="0.25">
      <c r="A351" t="s">
        <v>0</v>
      </c>
      <c r="B351" s="1">
        <v>42369</v>
      </c>
      <c r="C351" t="s">
        <v>1</v>
      </c>
      <c r="D351" t="s">
        <v>19</v>
      </c>
      <c r="E351">
        <v>-5469000000</v>
      </c>
      <c r="F351" s="2">
        <v>45986.11859953704</v>
      </c>
      <c r="G351" t="str">
        <f>VLOOKUP(D351,MAP!B:C,2,0)</f>
        <v>Income Tax</v>
      </c>
      <c r="H351" t="str">
        <f>VLOOKUP(D351,MAP!B:G,4,0)</f>
        <v>Tax</v>
      </c>
    </row>
    <row r="352" spans="1:8" x14ac:dyDescent="0.25">
      <c r="A352" t="s">
        <v>0</v>
      </c>
      <c r="B352" s="1">
        <v>42004</v>
      </c>
      <c r="C352" t="s">
        <v>1</v>
      </c>
      <c r="D352" t="s">
        <v>19</v>
      </c>
      <c r="E352">
        <v>1637000000</v>
      </c>
      <c r="F352" s="2">
        <v>45986.11859953704</v>
      </c>
      <c r="G352" t="str">
        <f>VLOOKUP(D352,MAP!B:C,2,0)</f>
        <v>Income Tax</v>
      </c>
      <c r="H352" t="str">
        <f>VLOOKUP(D352,MAP!B:G,4,0)</f>
        <v>Tax</v>
      </c>
    </row>
    <row r="353" spans="1:8" x14ac:dyDescent="0.25">
      <c r="A353" t="s">
        <v>0</v>
      </c>
      <c r="B353" s="1">
        <v>41639</v>
      </c>
      <c r="C353" t="s">
        <v>1</v>
      </c>
      <c r="D353" t="s">
        <v>19</v>
      </c>
      <c r="E353">
        <v>1928000000</v>
      </c>
      <c r="F353" s="2">
        <v>45986.11859953704</v>
      </c>
      <c r="G353" t="str">
        <f>VLOOKUP(D353,MAP!B:C,2,0)</f>
        <v>Income Tax</v>
      </c>
      <c r="H353" t="str">
        <f>VLOOKUP(D353,MAP!B:G,4,0)</f>
        <v>Tax</v>
      </c>
    </row>
    <row r="354" spans="1:8" x14ac:dyDescent="0.25">
      <c r="A354" t="s">
        <v>0</v>
      </c>
      <c r="B354" s="1">
        <v>41274</v>
      </c>
      <c r="C354" t="s">
        <v>1</v>
      </c>
      <c r="D354" t="s">
        <v>19</v>
      </c>
      <c r="E354">
        <v>2876000000</v>
      </c>
      <c r="F354" s="2">
        <v>45986.11859953704</v>
      </c>
      <c r="G354" t="str">
        <f>VLOOKUP(D354,MAP!B:C,2,0)</f>
        <v>Income Tax</v>
      </c>
      <c r="H354" t="str">
        <f>VLOOKUP(D354,MAP!B:G,4,0)</f>
        <v>Tax</v>
      </c>
    </row>
    <row r="355" spans="1:8" x14ac:dyDescent="0.25">
      <c r="A355" t="s">
        <v>0</v>
      </c>
      <c r="B355" s="1">
        <v>40908</v>
      </c>
      <c r="C355" t="s">
        <v>1</v>
      </c>
      <c r="D355" t="s">
        <v>19</v>
      </c>
      <c r="E355">
        <v>3509000000</v>
      </c>
      <c r="F355" s="2">
        <v>45986.11859953704</v>
      </c>
      <c r="G355" t="str">
        <f>VLOOKUP(D355,MAP!B:C,2,0)</f>
        <v>Income Tax</v>
      </c>
      <c r="H355" t="str">
        <f>VLOOKUP(D355,MAP!B:G,4,0)</f>
        <v>Tax</v>
      </c>
    </row>
    <row r="356" spans="1:8" x14ac:dyDescent="0.25">
      <c r="A356" t="s">
        <v>0</v>
      </c>
      <c r="B356" s="1">
        <v>40543</v>
      </c>
      <c r="C356" t="s">
        <v>1</v>
      </c>
      <c r="D356" t="s">
        <v>19</v>
      </c>
      <c r="E356">
        <v>2174000000</v>
      </c>
      <c r="F356" s="2">
        <v>45986.11859953704</v>
      </c>
      <c r="G356" t="str">
        <f>VLOOKUP(D356,MAP!B:C,2,0)</f>
        <v>Income Tax</v>
      </c>
      <c r="H356" t="str">
        <f>VLOOKUP(D356,MAP!B:G,4,0)</f>
        <v>Tax</v>
      </c>
    </row>
    <row r="357" spans="1:8" x14ac:dyDescent="0.25">
      <c r="A357" t="s">
        <v>0</v>
      </c>
      <c r="B357" s="1">
        <v>40178</v>
      </c>
      <c r="C357" t="s">
        <v>1</v>
      </c>
      <c r="D357" t="s">
        <v>19</v>
      </c>
      <c r="E357">
        <v>610789000</v>
      </c>
      <c r="F357" s="2">
        <v>45986.11859953704</v>
      </c>
      <c r="G357" t="str">
        <f>VLOOKUP(D357,MAP!B:C,2,0)</f>
        <v>Income Tax</v>
      </c>
      <c r="H357" t="str">
        <f>VLOOKUP(D357,MAP!B:G,4,0)</f>
        <v>Tax</v>
      </c>
    </row>
    <row r="358" spans="1:8" x14ac:dyDescent="0.25">
      <c r="A358" t="s">
        <v>0</v>
      </c>
      <c r="B358" s="1">
        <v>39813</v>
      </c>
      <c r="C358" t="s">
        <v>1</v>
      </c>
      <c r="D358" t="s">
        <v>19</v>
      </c>
      <c r="E358">
        <v>220438000</v>
      </c>
      <c r="F358" s="2">
        <v>45986.11859953704</v>
      </c>
      <c r="G358" t="str">
        <f>VLOOKUP(D358,MAP!B:C,2,0)</f>
        <v>Income Tax</v>
      </c>
      <c r="H358" t="str">
        <f>VLOOKUP(D358,MAP!B:G,4,0)</f>
        <v>Tax</v>
      </c>
    </row>
    <row r="359" spans="1:8" x14ac:dyDescent="0.25">
      <c r="A359" t="s">
        <v>0</v>
      </c>
      <c r="B359" s="1">
        <v>39447</v>
      </c>
      <c r="C359" t="s">
        <v>1</v>
      </c>
      <c r="D359" t="s">
        <v>19</v>
      </c>
      <c r="E359">
        <v>1860254000</v>
      </c>
      <c r="F359" s="2">
        <v>45986.11859953704</v>
      </c>
      <c r="G359" t="str">
        <f>VLOOKUP(D359,MAP!B:C,2,0)</f>
        <v>Income Tax</v>
      </c>
      <c r="H359" t="str">
        <f>VLOOKUP(D359,MAP!B:G,4,0)</f>
        <v>Tax</v>
      </c>
    </row>
    <row r="360" spans="1:8" x14ac:dyDescent="0.25">
      <c r="A360" t="s">
        <v>0</v>
      </c>
      <c r="B360" s="1">
        <v>39082</v>
      </c>
      <c r="C360" t="s">
        <v>1</v>
      </c>
      <c r="D360" t="s">
        <v>19</v>
      </c>
      <c r="E360">
        <v>1457144000</v>
      </c>
      <c r="F360" s="2">
        <v>45986.11859953704</v>
      </c>
      <c r="G360" t="str">
        <f>VLOOKUP(D360,MAP!B:C,2,0)</f>
        <v>Income Tax</v>
      </c>
      <c r="H360" t="str">
        <f>VLOOKUP(D360,MAP!B:G,4,0)</f>
        <v>Tax</v>
      </c>
    </row>
    <row r="361" spans="1:8" x14ac:dyDescent="0.25">
      <c r="A361" t="s">
        <v>0</v>
      </c>
      <c r="B361" s="1">
        <v>38717</v>
      </c>
      <c r="C361" t="s">
        <v>1</v>
      </c>
      <c r="D361" t="s">
        <v>19</v>
      </c>
      <c r="E361">
        <v>1582524000</v>
      </c>
      <c r="F361" s="2">
        <v>45986.11859953704</v>
      </c>
      <c r="G361" t="str">
        <f>VLOOKUP(D361,MAP!B:C,2,0)</f>
        <v>Income Tax</v>
      </c>
      <c r="H361" t="str">
        <f>VLOOKUP(D361,MAP!B:G,4,0)</f>
        <v>Tax</v>
      </c>
    </row>
    <row r="362" spans="1:8" x14ac:dyDescent="0.25">
      <c r="A362" t="s">
        <v>0</v>
      </c>
      <c r="B362" s="1">
        <v>45657</v>
      </c>
      <c r="C362" t="s">
        <v>1</v>
      </c>
      <c r="D362" t="s">
        <v>20</v>
      </c>
      <c r="F362" s="2">
        <v>45986.11859953704</v>
      </c>
      <c r="G362" t="str">
        <f>VLOOKUP(D362,MAP!B:C,2,0)</f>
        <v>Interest &amp; Other</v>
      </c>
      <c r="H362" t="str">
        <f>VLOOKUP(D362,MAP!B:G,4,0)</f>
        <v>Interest Expense</v>
      </c>
    </row>
    <row r="363" spans="1:8" x14ac:dyDescent="0.25">
      <c r="A363" t="s">
        <v>0</v>
      </c>
      <c r="B363" s="1">
        <v>45291</v>
      </c>
      <c r="C363" t="s">
        <v>1</v>
      </c>
      <c r="D363" t="s">
        <v>20</v>
      </c>
      <c r="F363" s="2">
        <v>45986.11859953704</v>
      </c>
      <c r="G363" t="str">
        <f>VLOOKUP(D363,MAP!B:C,2,0)</f>
        <v>Interest &amp; Other</v>
      </c>
      <c r="H363" t="str">
        <f>VLOOKUP(D363,MAP!B:G,4,0)</f>
        <v>Interest Expense</v>
      </c>
    </row>
    <row r="364" spans="1:8" x14ac:dyDescent="0.25">
      <c r="A364" t="s">
        <v>0</v>
      </c>
      <c r="B364" s="1">
        <v>44926</v>
      </c>
      <c r="C364" t="s">
        <v>1</v>
      </c>
      <c r="D364" t="s">
        <v>20</v>
      </c>
      <c r="F364" s="2">
        <v>45986.11859953704</v>
      </c>
      <c r="G364" t="str">
        <f>VLOOKUP(D364,MAP!B:C,2,0)</f>
        <v>Interest &amp; Other</v>
      </c>
      <c r="H364" t="str">
        <f>VLOOKUP(D364,MAP!B:G,4,0)</f>
        <v>Interest Expense</v>
      </c>
    </row>
    <row r="365" spans="1:8" x14ac:dyDescent="0.25">
      <c r="A365" t="s">
        <v>0</v>
      </c>
      <c r="B365" s="1">
        <v>44561</v>
      </c>
      <c r="C365" t="s">
        <v>1</v>
      </c>
      <c r="D365" t="s">
        <v>20</v>
      </c>
      <c r="F365" s="2">
        <v>45986.11859953704</v>
      </c>
      <c r="G365" t="str">
        <f>VLOOKUP(D365,MAP!B:C,2,0)</f>
        <v>Interest &amp; Other</v>
      </c>
      <c r="H365" t="str">
        <f>VLOOKUP(D365,MAP!B:G,4,0)</f>
        <v>Interest Expense</v>
      </c>
    </row>
    <row r="366" spans="1:8" x14ac:dyDescent="0.25">
      <c r="A366" t="s">
        <v>0</v>
      </c>
      <c r="B366" s="1">
        <v>44196</v>
      </c>
      <c r="C366" t="s">
        <v>1</v>
      </c>
      <c r="D366" t="s">
        <v>20</v>
      </c>
      <c r="F366" s="2">
        <v>45986.11859953704</v>
      </c>
      <c r="G366" t="str">
        <f>VLOOKUP(D366,MAP!B:C,2,0)</f>
        <v>Interest &amp; Other</v>
      </c>
      <c r="H366" t="str">
        <f>VLOOKUP(D366,MAP!B:G,4,0)</f>
        <v>Interest Expense</v>
      </c>
    </row>
    <row r="367" spans="1:8" x14ac:dyDescent="0.25">
      <c r="A367" t="s">
        <v>0</v>
      </c>
      <c r="B367" s="1">
        <v>43830</v>
      </c>
      <c r="C367" t="s">
        <v>1</v>
      </c>
      <c r="D367" t="s">
        <v>20</v>
      </c>
      <c r="F367" s="2">
        <v>45986.11859953704</v>
      </c>
      <c r="G367" t="str">
        <f>VLOOKUP(D367,MAP!B:C,2,0)</f>
        <v>Interest &amp; Other</v>
      </c>
      <c r="H367" t="str">
        <f>VLOOKUP(D367,MAP!B:G,4,0)</f>
        <v>Interest Expense</v>
      </c>
    </row>
    <row r="368" spans="1:8" x14ac:dyDescent="0.25">
      <c r="A368" t="s">
        <v>0</v>
      </c>
      <c r="B368" s="1">
        <v>43465</v>
      </c>
      <c r="C368" t="s">
        <v>1</v>
      </c>
      <c r="D368" t="s">
        <v>20</v>
      </c>
      <c r="F368" s="2">
        <v>45986.11859953704</v>
      </c>
      <c r="G368" t="str">
        <f>VLOOKUP(D368,MAP!B:C,2,0)</f>
        <v>Interest &amp; Other</v>
      </c>
      <c r="H368" t="str">
        <f>VLOOKUP(D368,MAP!B:G,4,0)</f>
        <v>Interest Expense</v>
      </c>
    </row>
    <row r="369" spans="1:8" x14ac:dyDescent="0.25">
      <c r="A369" t="s">
        <v>0</v>
      </c>
      <c r="B369" s="1">
        <v>43100</v>
      </c>
      <c r="C369" t="s">
        <v>1</v>
      </c>
      <c r="D369" t="s">
        <v>20</v>
      </c>
      <c r="F369" s="2">
        <v>45986.11859953704</v>
      </c>
      <c r="G369" t="str">
        <f>VLOOKUP(D369,MAP!B:C,2,0)</f>
        <v>Interest &amp; Other</v>
      </c>
      <c r="H369" t="str">
        <f>VLOOKUP(D369,MAP!B:G,4,0)</f>
        <v>Interest Expense</v>
      </c>
    </row>
    <row r="370" spans="1:8" x14ac:dyDescent="0.25">
      <c r="A370" t="s">
        <v>0</v>
      </c>
      <c r="B370" s="1">
        <v>42735</v>
      </c>
      <c r="C370" t="s">
        <v>1</v>
      </c>
      <c r="D370" t="s">
        <v>20</v>
      </c>
      <c r="F370" s="2">
        <v>45986.11859953704</v>
      </c>
      <c r="G370" t="str">
        <f>VLOOKUP(D370,MAP!B:C,2,0)</f>
        <v>Interest &amp; Other</v>
      </c>
      <c r="H370" t="str">
        <f>VLOOKUP(D370,MAP!B:G,4,0)</f>
        <v>Interest Expense</v>
      </c>
    </row>
    <row r="371" spans="1:8" x14ac:dyDescent="0.25">
      <c r="A371" t="s">
        <v>0</v>
      </c>
      <c r="B371" s="1">
        <v>42369</v>
      </c>
      <c r="C371" t="s">
        <v>1</v>
      </c>
      <c r="D371" t="s">
        <v>20</v>
      </c>
      <c r="F371" s="2">
        <v>45986.11859953704</v>
      </c>
      <c r="G371" t="str">
        <f>VLOOKUP(D371,MAP!B:C,2,0)</f>
        <v>Interest &amp; Other</v>
      </c>
      <c r="H371" t="str">
        <f>VLOOKUP(D371,MAP!B:G,4,0)</f>
        <v>Interest Expense</v>
      </c>
    </row>
    <row r="372" spans="1:8" x14ac:dyDescent="0.25">
      <c r="A372" t="s">
        <v>0</v>
      </c>
      <c r="B372" s="1">
        <v>42004</v>
      </c>
      <c r="C372" t="s">
        <v>1</v>
      </c>
      <c r="D372" t="s">
        <v>20</v>
      </c>
      <c r="F372" s="2">
        <v>45986.11859953704</v>
      </c>
      <c r="G372" t="str">
        <f>VLOOKUP(D372,MAP!B:C,2,0)</f>
        <v>Interest &amp; Other</v>
      </c>
      <c r="H372" t="str">
        <f>VLOOKUP(D372,MAP!B:G,4,0)</f>
        <v>Interest Expense</v>
      </c>
    </row>
    <row r="373" spans="1:8" x14ac:dyDescent="0.25">
      <c r="A373" t="s">
        <v>0</v>
      </c>
      <c r="B373" s="1">
        <v>41639</v>
      </c>
      <c r="C373" t="s">
        <v>1</v>
      </c>
      <c r="D373" t="s">
        <v>20</v>
      </c>
      <c r="F373" s="2">
        <v>45986.11859953704</v>
      </c>
      <c r="G373" t="str">
        <f>VLOOKUP(D373,MAP!B:C,2,0)</f>
        <v>Interest &amp; Other</v>
      </c>
      <c r="H373" t="str">
        <f>VLOOKUP(D373,MAP!B:G,4,0)</f>
        <v>Interest Expense</v>
      </c>
    </row>
    <row r="374" spans="1:8" x14ac:dyDescent="0.25">
      <c r="A374" t="s">
        <v>0</v>
      </c>
      <c r="B374" s="1">
        <v>41274</v>
      </c>
      <c r="C374" t="s">
        <v>1</v>
      </c>
      <c r="D374" t="s">
        <v>20</v>
      </c>
      <c r="F374" s="2">
        <v>45986.11859953704</v>
      </c>
      <c r="G374" t="str">
        <f>VLOOKUP(D374,MAP!B:C,2,0)</f>
        <v>Interest &amp; Other</v>
      </c>
      <c r="H374" t="str">
        <f>VLOOKUP(D374,MAP!B:G,4,0)</f>
        <v>Interest Expense</v>
      </c>
    </row>
    <row r="375" spans="1:8" x14ac:dyDescent="0.25">
      <c r="A375" t="s">
        <v>0</v>
      </c>
      <c r="B375" s="1">
        <v>40908</v>
      </c>
      <c r="C375" t="s">
        <v>1</v>
      </c>
      <c r="D375" t="s">
        <v>20</v>
      </c>
      <c r="F375" s="2">
        <v>45986.11859953704</v>
      </c>
      <c r="G375" t="str">
        <f>VLOOKUP(D375,MAP!B:C,2,0)</f>
        <v>Interest &amp; Other</v>
      </c>
      <c r="H375" t="str">
        <f>VLOOKUP(D375,MAP!B:G,4,0)</f>
        <v>Interest Expense</v>
      </c>
    </row>
    <row r="376" spans="1:8" x14ac:dyDescent="0.25">
      <c r="A376" t="s">
        <v>0</v>
      </c>
      <c r="B376" s="1">
        <v>40543</v>
      </c>
      <c r="C376" t="s">
        <v>1</v>
      </c>
      <c r="D376" t="s">
        <v>20</v>
      </c>
      <c r="F376" s="2">
        <v>45986.11859953704</v>
      </c>
      <c r="G376" t="str">
        <f>VLOOKUP(D376,MAP!B:C,2,0)</f>
        <v>Interest &amp; Other</v>
      </c>
      <c r="H376" t="str">
        <f>VLOOKUP(D376,MAP!B:G,4,0)</f>
        <v>Interest Expense</v>
      </c>
    </row>
    <row r="377" spans="1:8" x14ac:dyDescent="0.25">
      <c r="A377" t="s">
        <v>0</v>
      </c>
      <c r="B377" s="1">
        <v>40178</v>
      </c>
      <c r="C377" t="s">
        <v>1</v>
      </c>
      <c r="D377" t="s">
        <v>20</v>
      </c>
      <c r="F377" s="2">
        <v>45986.11859953704</v>
      </c>
      <c r="G377" t="str">
        <f>VLOOKUP(D377,MAP!B:C,2,0)</f>
        <v>Interest &amp; Other</v>
      </c>
      <c r="H377" t="str">
        <f>VLOOKUP(D377,MAP!B:G,4,0)</f>
        <v>Interest Expense</v>
      </c>
    </row>
    <row r="378" spans="1:8" x14ac:dyDescent="0.25">
      <c r="A378" t="s">
        <v>0</v>
      </c>
      <c r="B378" s="1">
        <v>39813</v>
      </c>
      <c r="C378" t="s">
        <v>1</v>
      </c>
      <c r="D378" t="s">
        <v>20</v>
      </c>
      <c r="F378" s="2">
        <v>45986.11859953704</v>
      </c>
      <c r="G378" t="str">
        <f>VLOOKUP(D378,MAP!B:C,2,0)</f>
        <v>Interest &amp; Other</v>
      </c>
      <c r="H378" t="str">
        <f>VLOOKUP(D378,MAP!B:G,4,0)</f>
        <v>Interest Expense</v>
      </c>
    </row>
    <row r="379" spans="1:8" x14ac:dyDescent="0.25">
      <c r="A379" t="s">
        <v>0</v>
      </c>
      <c r="B379" s="1">
        <v>39447</v>
      </c>
      <c r="C379" t="s">
        <v>1</v>
      </c>
      <c r="D379" t="s">
        <v>20</v>
      </c>
      <c r="F379" s="2">
        <v>45986.11859953704</v>
      </c>
      <c r="G379" t="str">
        <f>VLOOKUP(D379,MAP!B:C,2,0)</f>
        <v>Interest &amp; Other</v>
      </c>
      <c r="H379" t="str">
        <f>VLOOKUP(D379,MAP!B:G,4,0)</f>
        <v>Interest Expense</v>
      </c>
    </row>
    <row r="380" spans="1:8" x14ac:dyDescent="0.25">
      <c r="A380" t="s">
        <v>0</v>
      </c>
      <c r="B380" s="1">
        <v>39082</v>
      </c>
      <c r="C380" t="s">
        <v>1</v>
      </c>
      <c r="D380" t="s">
        <v>20</v>
      </c>
      <c r="F380" s="2">
        <v>45986.11859953704</v>
      </c>
      <c r="G380" t="str">
        <f>VLOOKUP(D380,MAP!B:C,2,0)</f>
        <v>Interest &amp; Other</v>
      </c>
      <c r="H380" t="str">
        <f>VLOOKUP(D380,MAP!B:G,4,0)</f>
        <v>Interest Expense</v>
      </c>
    </row>
    <row r="381" spans="1:8" x14ac:dyDescent="0.25">
      <c r="A381" t="s">
        <v>0</v>
      </c>
      <c r="B381" s="1">
        <v>38717</v>
      </c>
      <c r="C381" t="s">
        <v>1</v>
      </c>
      <c r="D381" t="s">
        <v>20</v>
      </c>
      <c r="F381" s="2">
        <v>45986.11859953704</v>
      </c>
      <c r="G381" t="str">
        <f>VLOOKUP(D381,MAP!B:C,2,0)</f>
        <v>Interest &amp; Other</v>
      </c>
      <c r="H381" t="str">
        <f>VLOOKUP(D381,MAP!B:G,4,0)</f>
        <v>Interest Expense</v>
      </c>
    </row>
    <row r="382" spans="1:8" x14ac:dyDescent="0.25">
      <c r="A382" t="s">
        <v>0</v>
      </c>
      <c r="B382" s="1">
        <v>45657</v>
      </c>
      <c r="C382" t="s">
        <v>1</v>
      </c>
      <c r="D382" t="s">
        <v>21</v>
      </c>
      <c r="E382">
        <v>1118000000</v>
      </c>
      <c r="F382" s="2">
        <v>45986.11859953704</v>
      </c>
      <c r="G382" t="str">
        <f>VLOOKUP(D382,MAP!B:C,2,0)</f>
        <v>Net Income</v>
      </c>
      <c r="H382" t="str">
        <f>VLOOKUP(D382,MAP!B:G,4,0)</f>
        <v>Net Income</v>
      </c>
    </row>
    <row r="383" spans="1:8" x14ac:dyDescent="0.25">
      <c r="A383" t="s">
        <v>0</v>
      </c>
      <c r="B383" s="1">
        <v>45291</v>
      </c>
      <c r="C383" t="s">
        <v>1</v>
      </c>
      <c r="D383" t="s">
        <v>21</v>
      </c>
      <c r="E383">
        <v>3207000000</v>
      </c>
      <c r="F383" s="2">
        <v>45986.11859953704</v>
      </c>
      <c r="G383" t="str">
        <f>VLOOKUP(D383,MAP!B:C,2,0)</f>
        <v>Net Income</v>
      </c>
      <c r="H383" t="str">
        <f>VLOOKUP(D383,MAP!B:G,4,0)</f>
        <v>Net Income</v>
      </c>
    </row>
    <row r="384" spans="1:8" x14ac:dyDescent="0.25">
      <c r="A384" t="s">
        <v>0</v>
      </c>
      <c r="B384" s="1">
        <v>44926</v>
      </c>
      <c r="C384" t="s">
        <v>1</v>
      </c>
      <c r="D384" t="s">
        <v>21</v>
      </c>
      <c r="E384">
        <v>4082000000</v>
      </c>
      <c r="F384" s="2">
        <v>45986.11859953704</v>
      </c>
      <c r="G384" t="str">
        <f>VLOOKUP(D384,MAP!B:C,2,0)</f>
        <v>Net Income</v>
      </c>
      <c r="H384" t="str">
        <f>VLOOKUP(D384,MAP!B:G,4,0)</f>
        <v>Net Income</v>
      </c>
    </row>
    <row r="385" spans="1:8" x14ac:dyDescent="0.25">
      <c r="A385" t="s">
        <v>0</v>
      </c>
      <c r="B385" s="1">
        <v>44561</v>
      </c>
      <c r="C385" t="s">
        <v>1</v>
      </c>
      <c r="D385" t="s">
        <v>21</v>
      </c>
      <c r="E385">
        <v>1402000000</v>
      </c>
      <c r="F385" s="2">
        <v>45986.11859953704</v>
      </c>
      <c r="G385" t="str">
        <f>VLOOKUP(D385,MAP!B:C,2,0)</f>
        <v>Net Income</v>
      </c>
      <c r="H385" t="str">
        <f>VLOOKUP(D385,MAP!B:G,4,0)</f>
        <v>Net Income</v>
      </c>
    </row>
    <row r="386" spans="1:8" x14ac:dyDescent="0.25">
      <c r="A386" t="s">
        <v>0</v>
      </c>
      <c r="B386" s="1">
        <v>44196</v>
      </c>
      <c r="C386" t="s">
        <v>1</v>
      </c>
      <c r="D386" t="s">
        <v>21</v>
      </c>
      <c r="E386">
        <v>-4904000000</v>
      </c>
      <c r="F386" s="2">
        <v>45986.11859953704</v>
      </c>
      <c r="G386" t="str">
        <f>VLOOKUP(D386,MAP!B:C,2,0)</f>
        <v>Net Income</v>
      </c>
      <c r="H386" t="str">
        <f>VLOOKUP(D386,MAP!B:G,4,0)</f>
        <v>Net Income</v>
      </c>
    </row>
    <row r="387" spans="1:8" x14ac:dyDescent="0.25">
      <c r="A387" t="s">
        <v>0</v>
      </c>
      <c r="B387" s="1">
        <v>43830</v>
      </c>
      <c r="C387" t="s">
        <v>1</v>
      </c>
      <c r="D387" t="s">
        <v>21</v>
      </c>
      <c r="E387">
        <v>-2348000000</v>
      </c>
      <c r="F387" s="2">
        <v>45986.11859953704</v>
      </c>
      <c r="G387" t="str">
        <f>VLOOKUP(D387,MAP!B:C,2,0)</f>
        <v>Net Income</v>
      </c>
      <c r="H387" t="str">
        <f>VLOOKUP(D387,MAP!B:G,4,0)</f>
        <v>Net Income</v>
      </c>
    </row>
    <row r="388" spans="1:8" x14ac:dyDescent="0.25">
      <c r="A388" t="s">
        <v>0</v>
      </c>
      <c r="B388" s="1">
        <v>43465</v>
      </c>
      <c r="C388" t="s">
        <v>1</v>
      </c>
      <c r="D388" t="s">
        <v>21</v>
      </c>
      <c r="E388">
        <v>286000000</v>
      </c>
      <c r="F388" s="2">
        <v>45986.11859953704</v>
      </c>
      <c r="G388" t="str">
        <f>VLOOKUP(D388,MAP!B:C,2,0)</f>
        <v>Net Income</v>
      </c>
      <c r="H388" t="str">
        <f>VLOOKUP(D388,MAP!B:G,4,0)</f>
        <v>Net Income</v>
      </c>
    </row>
    <row r="389" spans="1:8" x14ac:dyDescent="0.25">
      <c r="A389" t="s">
        <v>0</v>
      </c>
      <c r="B389" s="1">
        <v>43100</v>
      </c>
      <c r="C389" t="s">
        <v>1</v>
      </c>
      <c r="D389" t="s">
        <v>21</v>
      </c>
      <c r="E389">
        <v>1503000000</v>
      </c>
      <c r="F389" s="2">
        <v>45986.11859953704</v>
      </c>
      <c r="G389" t="str">
        <f>VLOOKUP(D389,MAP!B:C,2,0)</f>
        <v>Net Income</v>
      </c>
      <c r="H389" t="str">
        <f>VLOOKUP(D389,MAP!B:G,4,0)</f>
        <v>Net Income</v>
      </c>
    </row>
    <row r="390" spans="1:8" x14ac:dyDescent="0.25">
      <c r="A390" t="s">
        <v>0</v>
      </c>
      <c r="B390" s="1">
        <v>42735</v>
      </c>
      <c r="C390" t="s">
        <v>1</v>
      </c>
      <c r="D390" t="s">
        <v>21</v>
      </c>
      <c r="E390">
        <v>-1240000000</v>
      </c>
      <c r="F390" s="2">
        <v>45986.11859953704</v>
      </c>
      <c r="G390" t="str">
        <f>VLOOKUP(D390,MAP!B:C,2,0)</f>
        <v>Net Income</v>
      </c>
      <c r="H390" t="str">
        <f>VLOOKUP(D390,MAP!B:G,4,0)</f>
        <v>Net Income</v>
      </c>
    </row>
    <row r="391" spans="1:8" x14ac:dyDescent="0.25">
      <c r="A391" t="s">
        <v>0</v>
      </c>
      <c r="B391" s="1">
        <v>42369</v>
      </c>
      <c r="C391" t="s">
        <v>1</v>
      </c>
      <c r="D391" t="s">
        <v>21</v>
      </c>
      <c r="E391">
        <v>-22757000000</v>
      </c>
      <c r="F391" s="2">
        <v>45986.11859953704</v>
      </c>
      <c r="G391" t="str">
        <f>VLOOKUP(D391,MAP!B:C,2,0)</f>
        <v>Net Income</v>
      </c>
      <c r="H391" t="str">
        <f>VLOOKUP(D391,MAP!B:G,4,0)</f>
        <v>Net Income</v>
      </c>
    </row>
    <row r="392" spans="1:8" x14ac:dyDescent="0.25">
      <c r="A392" t="s">
        <v>0</v>
      </c>
      <c r="B392" s="1">
        <v>42004</v>
      </c>
      <c r="C392" t="s">
        <v>1</v>
      </c>
      <c r="D392" t="s">
        <v>21</v>
      </c>
      <c r="E392">
        <v>-4543000000</v>
      </c>
      <c r="F392" s="2">
        <v>45986.11859953704</v>
      </c>
      <c r="G392" t="str">
        <f>VLOOKUP(D392,MAP!B:C,2,0)</f>
        <v>Net Income</v>
      </c>
      <c r="H392" t="str">
        <f>VLOOKUP(D392,MAP!B:G,4,0)</f>
        <v>Net Income</v>
      </c>
    </row>
    <row r="393" spans="1:8" x14ac:dyDescent="0.25">
      <c r="A393" t="s">
        <v>0</v>
      </c>
      <c r="B393" s="1">
        <v>41639</v>
      </c>
      <c r="C393" t="s">
        <v>1</v>
      </c>
      <c r="D393" t="s">
        <v>21</v>
      </c>
      <c r="E393">
        <v>2288000000</v>
      </c>
      <c r="F393" s="2">
        <v>45986.11859953704</v>
      </c>
      <c r="G393" t="str">
        <f>VLOOKUP(D393,MAP!B:C,2,0)</f>
        <v>Net Income</v>
      </c>
      <c r="H393" t="str">
        <f>VLOOKUP(D393,MAP!B:G,4,0)</f>
        <v>Net Income</v>
      </c>
    </row>
    <row r="394" spans="1:8" x14ac:dyDescent="0.25">
      <c r="A394" t="s">
        <v>0</v>
      </c>
      <c r="B394" s="1">
        <v>41274</v>
      </c>
      <c r="C394" t="s">
        <v>1</v>
      </c>
      <c r="D394" t="s">
        <v>21</v>
      </c>
      <c r="E394">
        <v>2001000000</v>
      </c>
      <c r="F394" s="2">
        <v>45986.11859953704</v>
      </c>
      <c r="G394" t="str">
        <f>VLOOKUP(D394,MAP!B:C,2,0)</f>
        <v>Net Income</v>
      </c>
      <c r="H394" t="str">
        <f>VLOOKUP(D394,MAP!B:G,4,0)</f>
        <v>Net Income</v>
      </c>
    </row>
    <row r="395" spans="1:8" x14ac:dyDescent="0.25">
      <c r="A395" t="s">
        <v>0</v>
      </c>
      <c r="B395" s="1">
        <v>40908</v>
      </c>
      <c r="C395" t="s">
        <v>1</v>
      </c>
      <c r="D395" t="s">
        <v>21</v>
      </c>
      <c r="E395">
        <v>4584000000</v>
      </c>
      <c r="F395" s="2">
        <v>45986.11859953704</v>
      </c>
      <c r="G395" t="str">
        <f>VLOOKUP(D395,MAP!B:C,2,0)</f>
        <v>Net Income</v>
      </c>
      <c r="H395" t="str">
        <f>VLOOKUP(D395,MAP!B:G,4,0)</f>
        <v>Net Income</v>
      </c>
    </row>
    <row r="396" spans="1:8" x14ac:dyDescent="0.25">
      <c r="A396" t="s">
        <v>0</v>
      </c>
      <c r="B396" s="1">
        <v>40543</v>
      </c>
      <c r="C396" t="s">
        <v>1</v>
      </c>
      <c r="D396" t="s">
        <v>21</v>
      </c>
      <c r="E396">
        <v>3032000000</v>
      </c>
      <c r="F396" s="2">
        <v>45986.11859953704</v>
      </c>
      <c r="G396" t="str">
        <f>VLOOKUP(D396,MAP!B:C,2,0)</f>
        <v>Net Income</v>
      </c>
      <c r="H396" t="str">
        <f>VLOOKUP(D396,MAP!B:G,4,0)</f>
        <v>Net Income</v>
      </c>
    </row>
    <row r="397" spans="1:8" x14ac:dyDescent="0.25">
      <c r="A397" t="s">
        <v>0</v>
      </c>
      <c r="B397" s="1">
        <v>40178</v>
      </c>
      <c r="C397" t="s">
        <v>1</v>
      </c>
      <c r="D397" t="s">
        <v>21</v>
      </c>
      <c r="E397">
        <v>-284398000</v>
      </c>
      <c r="F397" s="2">
        <v>45986.11859953704</v>
      </c>
      <c r="G397" t="str">
        <f>VLOOKUP(D397,MAP!B:C,2,0)</f>
        <v>Net Income</v>
      </c>
      <c r="H397" t="str">
        <f>VLOOKUP(D397,MAP!B:G,4,0)</f>
        <v>Net Income</v>
      </c>
    </row>
    <row r="398" spans="1:8" x14ac:dyDescent="0.25">
      <c r="A398" t="s">
        <v>0</v>
      </c>
      <c r="B398" s="1">
        <v>39813</v>
      </c>
      <c r="C398" t="s">
        <v>1</v>
      </c>
      <c r="D398" t="s">
        <v>21</v>
      </c>
      <c r="F398" s="2">
        <v>45986.11859953704</v>
      </c>
      <c r="G398" t="str">
        <f>VLOOKUP(D398,MAP!B:C,2,0)</f>
        <v>Net Income</v>
      </c>
      <c r="H398" t="str">
        <f>VLOOKUP(D398,MAP!B:G,4,0)</f>
        <v>Net Income</v>
      </c>
    </row>
    <row r="399" spans="1:8" x14ac:dyDescent="0.25">
      <c r="A399" t="s">
        <v>0</v>
      </c>
      <c r="B399" s="1">
        <v>39447</v>
      </c>
      <c r="C399" t="s">
        <v>1</v>
      </c>
      <c r="D399" t="s">
        <v>21</v>
      </c>
      <c r="F399" s="2">
        <v>45986.11859953704</v>
      </c>
      <c r="G399" t="str">
        <f>VLOOKUP(D399,MAP!B:C,2,0)</f>
        <v>Net Income</v>
      </c>
      <c r="H399" t="str">
        <f>VLOOKUP(D399,MAP!B:G,4,0)</f>
        <v>Net Income</v>
      </c>
    </row>
    <row r="400" spans="1:8" x14ac:dyDescent="0.25">
      <c r="A400" t="s">
        <v>0</v>
      </c>
      <c r="B400" s="1">
        <v>39082</v>
      </c>
      <c r="C400" t="s">
        <v>1</v>
      </c>
      <c r="D400" t="s">
        <v>21</v>
      </c>
      <c r="F400" s="2">
        <v>45986.11859953704</v>
      </c>
      <c r="G400" t="str">
        <f>VLOOKUP(D400,MAP!B:C,2,0)</f>
        <v>Net Income</v>
      </c>
      <c r="H400" t="str">
        <f>VLOOKUP(D400,MAP!B:G,4,0)</f>
        <v>Net Income</v>
      </c>
    </row>
    <row r="401" spans="1:8" x14ac:dyDescent="0.25">
      <c r="A401" t="s">
        <v>0</v>
      </c>
      <c r="B401" s="1">
        <v>38717</v>
      </c>
      <c r="C401" t="s">
        <v>1</v>
      </c>
      <c r="D401" t="s">
        <v>21</v>
      </c>
      <c r="F401" s="2">
        <v>45986.11859953704</v>
      </c>
      <c r="G401" t="str">
        <f>VLOOKUP(D401,MAP!B:C,2,0)</f>
        <v>Net Income</v>
      </c>
      <c r="H401" t="str">
        <f>VLOOKUP(D401,MAP!B:G,4,0)</f>
        <v>Net Income</v>
      </c>
    </row>
    <row r="402" spans="1:8" x14ac:dyDescent="0.25">
      <c r="A402" t="s">
        <v>0</v>
      </c>
      <c r="B402" s="1">
        <v>45657</v>
      </c>
      <c r="C402" t="s">
        <v>1</v>
      </c>
      <c r="D402" t="s">
        <v>22</v>
      </c>
      <c r="F402" s="2">
        <v>45986.11859953704</v>
      </c>
      <c r="G402" t="str">
        <f>VLOOKUP(D402,MAP!B:C,2,0)</f>
        <v>Comprehensive Income</v>
      </c>
      <c r="H402" t="str">
        <f>VLOOKUP(D402,MAP!B:G,4,0)</f>
        <v>Comp. Income</v>
      </c>
    </row>
    <row r="403" spans="1:8" x14ac:dyDescent="0.25">
      <c r="A403" t="s">
        <v>0</v>
      </c>
      <c r="B403" s="1">
        <v>45291</v>
      </c>
      <c r="C403" t="s">
        <v>1</v>
      </c>
      <c r="D403" t="s">
        <v>22</v>
      </c>
      <c r="F403" s="2">
        <v>45986.11859953704</v>
      </c>
      <c r="G403" t="str">
        <f>VLOOKUP(D403,MAP!B:C,2,0)</f>
        <v>Comprehensive Income</v>
      </c>
      <c r="H403" t="str">
        <f>VLOOKUP(D403,MAP!B:G,4,0)</f>
        <v>Comp. Income</v>
      </c>
    </row>
    <row r="404" spans="1:8" x14ac:dyDescent="0.25">
      <c r="A404" t="s">
        <v>0</v>
      </c>
      <c r="B404" s="1">
        <v>44926</v>
      </c>
      <c r="C404" t="s">
        <v>1</v>
      </c>
      <c r="D404" t="s">
        <v>22</v>
      </c>
      <c r="F404" s="2">
        <v>45986.11859953704</v>
      </c>
      <c r="G404" t="str">
        <f>VLOOKUP(D404,MAP!B:C,2,0)</f>
        <v>Comprehensive Income</v>
      </c>
      <c r="H404" t="str">
        <f>VLOOKUP(D404,MAP!B:G,4,0)</f>
        <v>Comp. Income</v>
      </c>
    </row>
    <row r="405" spans="1:8" x14ac:dyDescent="0.25">
      <c r="A405" t="s">
        <v>0</v>
      </c>
      <c r="B405" s="1">
        <v>44561</v>
      </c>
      <c r="C405" t="s">
        <v>1</v>
      </c>
      <c r="D405" t="s">
        <v>22</v>
      </c>
      <c r="F405" s="2">
        <v>45986.11859953704</v>
      </c>
      <c r="G405" t="str">
        <f>VLOOKUP(D405,MAP!B:C,2,0)</f>
        <v>Comprehensive Income</v>
      </c>
      <c r="H405" t="str">
        <f>VLOOKUP(D405,MAP!B:G,4,0)</f>
        <v>Comp. Income</v>
      </c>
    </row>
    <row r="406" spans="1:8" x14ac:dyDescent="0.25">
      <c r="A406" t="s">
        <v>0</v>
      </c>
      <c r="B406" s="1">
        <v>44196</v>
      </c>
      <c r="C406" t="s">
        <v>1</v>
      </c>
      <c r="D406" t="s">
        <v>22</v>
      </c>
      <c r="F406" s="2">
        <v>45986.11859953704</v>
      </c>
      <c r="G406" t="str">
        <f>VLOOKUP(D406,MAP!B:C,2,0)</f>
        <v>Comprehensive Income</v>
      </c>
      <c r="H406" t="str">
        <f>VLOOKUP(D406,MAP!B:G,4,0)</f>
        <v>Comp. Income</v>
      </c>
    </row>
    <row r="407" spans="1:8" x14ac:dyDescent="0.25">
      <c r="A407" t="s">
        <v>0</v>
      </c>
      <c r="B407" s="1">
        <v>43830</v>
      </c>
      <c r="C407" t="s">
        <v>1</v>
      </c>
      <c r="D407" t="s">
        <v>22</v>
      </c>
      <c r="F407" s="2">
        <v>45986.11859953704</v>
      </c>
      <c r="G407" t="str">
        <f>VLOOKUP(D407,MAP!B:C,2,0)</f>
        <v>Comprehensive Income</v>
      </c>
      <c r="H407" t="str">
        <f>VLOOKUP(D407,MAP!B:G,4,0)</f>
        <v>Comp. Income</v>
      </c>
    </row>
    <row r="408" spans="1:8" x14ac:dyDescent="0.25">
      <c r="A408" t="s">
        <v>0</v>
      </c>
      <c r="B408" s="1">
        <v>43465</v>
      </c>
      <c r="C408" t="s">
        <v>1</v>
      </c>
      <c r="D408" t="s">
        <v>22</v>
      </c>
      <c r="F408" s="2">
        <v>45986.11859953704</v>
      </c>
      <c r="G408" t="str">
        <f>VLOOKUP(D408,MAP!B:C,2,0)</f>
        <v>Comprehensive Income</v>
      </c>
      <c r="H408" t="str">
        <f>VLOOKUP(D408,MAP!B:G,4,0)</f>
        <v>Comp. Income</v>
      </c>
    </row>
    <row r="409" spans="1:8" x14ac:dyDescent="0.25">
      <c r="A409" t="s">
        <v>0</v>
      </c>
      <c r="B409" s="1">
        <v>43100</v>
      </c>
      <c r="C409" t="s">
        <v>1</v>
      </c>
      <c r="D409" t="s">
        <v>22</v>
      </c>
      <c r="F409" s="2">
        <v>45986.11859953704</v>
      </c>
      <c r="G409" t="str">
        <f>VLOOKUP(D409,MAP!B:C,2,0)</f>
        <v>Comprehensive Income</v>
      </c>
      <c r="H409" t="str">
        <f>VLOOKUP(D409,MAP!B:G,4,0)</f>
        <v>Comp. Income</v>
      </c>
    </row>
    <row r="410" spans="1:8" x14ac:dyDescent="0.25">
      <c r="A410" t="s">
        <v>0</v>
      </c>
      <c r="B410" s="1">
        <v>42735</v>
      </c>
      <c r="C410" t="s">
        <v>1</v>
      </c>
      <c r="D410" t="s">
        <v>22</v>
      </c>
      <c r="F410" s="2">
        <v>45986.11859953704</v>
      </c>
      <c r="G410" t="str">
        <f>VLOOKUP(D410,MAP!B:C,2,0)</f>
        <v>Comprehensive Income</v>
      </c>
      <c r="H410" t="str">
        <f>VLOOKUP(D410,MAP!B:G,4,0)</f>
        <v>Comp. Income</v>
      </c>
    </row>
    <row r="411" spans="1:8" x14ac:dyDescent="0.25">
      <c r="A411" t="s">
        <v>0</v>
      </c>
      <c r="B411" s="1">
        <v>42369</v>
      </c>
      <c r="C411" t="s">
        <v>1</v>
      </c>
      <c r="D411" t="s">
        <v>22</v>
      </c>
      <c r="F411" s="2">
        <v>45986.11859953704</v>
      </c>
      <c r="G411" t="str">
        <f>VLOOKUP(D411,MAP!B:C,2,0)</f>
        <v>Comprehensive Income</v>
      </c>
      <c r="H411" t="str">
        <f>VLOOKUP(D411,MAP!B:G,4,0)</f>
        <v>Comp. Income</v>
      </c>
    </row>
    <row r="412" spans="1:8" x14ac:dyDescent="0.25">
      <c r="A412" t="s">
        <v>0</v>
      </c>
      <c r="B412" s="1">
        <v>42004</v>
      </c>
      <c r="C412" t="s">
        <v>1</v>
      </c>
      <c r="D412" t="s">
        <v>22</v>
      </c>
      <c r="F412" s="2">
        <v>45986.11859953704</v>
      </c>
      <c r="G412" t="str">
        <f>VLOOKUP(D412,MAP!B:C,2,0)</f>
        <v>Comprehensive Income</v>
      </c>
      <c r="H412" t="str">
        <f>VLOOKUP(D412,MAP!B:G,4,0)</f>
        <v>Comp. Income</v>
      </c>
    </row>
    <row r="413" spans="1:8" x14ac:dyDescent="0.25">
      <c r="A413" t="s">
        <v>0</v>
      </c>
      <c r="B413" s="1">
        <v>41639</v>
      </c>
      <c r="C413" t="s">
        <v>1</v>
      </c>
      <c r="D413" t="s">
        <v>22</v>
      </c>
      <c r="F413" s="2">
        <v>45986.11859953704</v>
      </c>
      <c r="G413" t="str">
        <f>VLOOKUP(D413,MAP!B:C,2,0)</f>
        <v>Comprehensive Income</v>
      </c>
      <c r="H413" t="str">
        <f>VLOOKUP(D413,MAP!B:G,4,0)</f>
        <v>Comp. Income</v>
      </c>
    </row>
    <row r="414" spans="1:8" x14ac:dyDescent="0.25">
      <c r="A414" t="s">
        <v>0</v>
      </c>
      <c r="B414" s="1">
        <v>41274</v>
      </c>
      <c r="C414" t="s">
        <v>1</v>
      </c>
      <c r="D414" t="s">
        <v>22</v>
      </c>
      <c r="F414" s="2">
        <v>45986.11859953704</v>
      </c>
      <c r="G414" t="str">
        <f>VLOOKUP(D414,MAP!B:C,2,0)</f>
        <v>Comprehensive Income</v>
      </c>
      <c r="H414" t="str">
        <f>VLOOKUP(D414,MAP!B:G,4,0)</f>
        <v>Comp. Income</v>
      </c>
    </row>
    <row r="415" spans="1:8" x14ac:dyDescent="0.25">
      <c r="A415" t="s">
        <v>0</v>
      </c>
      <c r="B415" s="1">
        <v>40908</v>
      </c>
      <c r="C415" t="s">
        <v>1</v>
      </c>
      <c r="D415" t="s">
        <v>22</v>
      </c>
      <c r="F415" s="2">
        <v>45986.11859953704</v>
      </c>
      <c r="G415" t="str">
        <f>VLOOKUP(D415,MAP!B:C,2,0)</f>
        <v>Comprehensive Income</v>
      </c>
      <c r="H415" t="str">
        <f>VLOOKUP(D415,MAP!B:G,4,0)</f>
        <v>Comp. Income</v>
      </c>
    </row>
    <row r="416" spans="1:8" x14ac:dyDescent="0.25">
      <c r="A416" t="s">
        <v>0</v>
      </c>
      <c r="B416" s="1">
        <v>40543</v>
      </c>
      <c r="C416" t="s">
        <v>1</v>
      </c>
      <c r="D416" t="s">
        <v>22</v>
      </c>
      <c r="F416" s="2">
        <v>45986.11859953704</v>
      </c>
      <c r="G416" t="str">
        <f>VLOOKUP(D416,MAP!B:C,2,0)</f>
        <v>Comprehensive Income</v>
      </c>
      <c r="H416" t="str">
        <f>VLOOKUP(D416,MAP!B:G,4,0)</f>
        <v>Comp. Income</v>
      </c>
    </row>
    <row r="417" spans="1:8" x14ac:dyDescent="0.25">
      <c r="A417" t="s">
        <v>0</v>
      </c>
      <c r="B417" s="1">
        <v>40178</v>
      </c>
      <c r="C417" t="s">
        <v>1</v>
      </c>
      <c r="D417" t="s">
        <v>22</v>
      </c>
      <c r="F417" s="2">
        <v>45986.11859953704</v>
      </c>
      <c r="G417" t="str">
        <f>VLOOKUP(D417,MAP!B:C,2,0)</f>
        <v>Comprehensive Income</v>
      </c>
      <c r="H417" t="str">
        <f>VLOOKUP(D417,MAP!B:G,4,0)</f>
        <v>Comp. Income</v>
      </c>
    </row>
    <row r="418" spans="1:8" x14ac:dyDescent="0.25">
      <c r="A418" t="s">
        <v>0</v>
      </c>
      <c r="B418" s="1">
        <v>39813</v>
      </c>
      <c r="C418" t="s">
        <v>1</v>
      </c>
      <c r="D418" t="s">
        <v>22</v>
      </c>
      <c r="F418" s="2">
        <v>45986.11859953704</v>
      </c>
      <c r="G418" t="str">
        <f>VLOOKUP(D418,MAP!B:C,2,0)</f>
        <v>Comprehensive Income</v>
      </c>
      <c r="H418" t="str">
        <f>VLOOKUP(D418,MAP!B:G,4,0)</f>
        <v>Comp. Income</v>
      </c>
    </row>
    <row r="419" spans="1:8" x14ac:dyDescent="0.25">
      <c r="A419" t="s">
        <v>0</v>
      </c>
      <c r="B419" s="1">
        <v>39447</v>
      </c>
      <c r="C419" t="s">
        <v>1</v>
      </c>
      <c r="D419" t="s">
        <v>22</v>
      </c>
      <c r="F419" s="2">
        <v>45986.11859953704</v>
      </c>
      <c r="G419" t="str">
        <f>VLOOKUP(D419,MAP!B:C,2,0)</f>
        <v>Comprehensive Income</v>
      </c>
      <c r="H419" t="str">
        <f>VLOOKUP(D419,MAP!B:G,4,0)</f>
        <v>Comp. Income</v>
      </c>
    </row>
    <row r="420" spans="1:8" x14ac:dyDescent="0.25">
      <c r="A420" t="s">
        <v>0</v>
      </c>
      <c r="B420" s="1">
        <v>39082</v>
      </c>
      <c r="C420" t="s">
        <v>1</v>
      </c>
      <c r="D420" t="s">
        <v>22</v>
      </c>
      <c r="F420" s="2">
        <v>45986.11859953704</v>
      </c>
      <c r="G420" t="str">
        <f>VLOOKUP(D420,MAP!B:C,2,0)</f>
        <v>Comprehensive Income</v>
      </c>
      <c r="H420" t="str">
        <f>VLOOKUP(D420,MAP!B:G,4,0)</f>
        <v>Comp. Income</v>
      </c>
    </row>
    <row r="421" spans="1:8" x14ac:dyDescent="0.25">
      <c r="A421" t="s">
        <v>0</v>
      </c>
      <c r="B421" s="1">
        <v>38717</v>
      </c>
      <c r="C421" t="s">
        <v>1</v>
      </c>
      <c r="D421" t="s">
        <v>22</v>
      </c>
      <c r="F421" s="2">
        <v>45986.11859953704</v>
      </c>
      <c r="G421" t="str">
        <f>VLOOKUP(D421,MAP!B:C,2,0)</f>
        <v>Comprehensive Income</v>
      </c>
      <c r="H421" t="str">
        <f>VLOOKUP(D421,MAP!B:G,4,0)</f>
        <v>Comp. Income</v>
      </c>
    </row>
    <row r="422" spans="1:8" x14ac:dyDescent="0.25">
      <c r="A422" t="s">
        <v>0</v>
      </c>
      <c r="B422" s="1">
        <v>45657</v>
      </c>
      <c r="C422" t="s">
        <v>1</v>
      </c>
      <c r="D422" t="s">
        <v>23</v>
      </c>
      <c r="E422">
        <v>1908000000</v>
      </c>
      <c r="F422" s="2">
        <v>45986.11859953704</v>
      </c>
      <c r="G422" t="str">
        <f>VLOOKUP(D422,MAP!B:C,2,0)</f>
        <v>Operating Income</v>
      </c>
      <c r="H422" t="str">
        <f>VLOOKUP(D422,MAP!B:G,4,0)</f>
        <v>EBIT</v>
      </c>
    </row>
    <row r="423" spans="1:8" x14ac:dyDescent="0.25">
      <c r="A423" t="s">
        <v>0</v>
      </c>
      <c r="B423" s="1">
        <v>45291</v>
      </c>
      <c r="C423" t="s">
        <v>1</v>
      </c>
      <c r="D423" t="s">
        <v>23</v>
      </c>
      <c r="E423">
        <v>3210000000</v>
      </c>
      <c r="F423" s="2">
        <v>45986.11859953704</v>
      </c>
      <c r="G423" t="str">
        <f>VLOOKUP(D423,MAP!B:C,2,0)</f>
        <v>Operating Income</v>
      </c>
      <c r="H423" t="str">
        <f>VLOOKUP(D423,MAP!B:G,4,0)</f>
        <v>EBIT</v>
      </c>
    </row>
    <row r="424" spans="1:8" x14ac:dyDescent="0.25">
      <c r="A424" t="s">
        <v>0</v>
      </c>
      <c r="B424" s="1">
        <v>44926</v>
      </c>
      <c r="C424" t="s">
        <v>1</v>
      </c>
      <c r="D424" t="s">
        <v>23</v>
      </c>
      <c r="E424">
        <v>6056000000</v>
      </c>
      <c r="F424" s="2">
        <v>45986.11859953704</v>
      </c>
      <c r="G424" t="str">
        <f>VLOOKUP(D424,MAP!B:C,2,0)</f>
        <v>Operating Income</v>
      </c>
      <c r="H424" t="str">
        <f>VLOOKUP(D424,MAP!B:G,4,0)</f>
        <v>EBIT</v>
      </c>
    </row>
    <row r="425" spans="1:8" x14ac:dyDescent="0.25">
      <c r="A425" t="s">
        <v>0</v>
      </c>
      <c r="B425" s="1">
        <v>44561</v>
      </c>
      <c r="C425" t="s">
        <v>1</v>
      </c>
      <c r="D425" t="s">
        <v>23</v>
      </c>
      <c r="E425">
        <v>2301000000</v>
      </c>
      <c r="F425" s="2">
        <v>45986.11859953704</v>
      </c>
      <c r="G425" t="str">
        <f>VLOOKUP(D425,MAP!B:C,2,0)</f>
        <v>Operating Income</v>
      </c>
      <c r="H425" t="str">
        <f>VLOOKUP(D425,MAP!B:G,4,0)</f>
        <v>EBIT</v>
      </c>
    </row>
    <row r="426" spans="1:8" x14ac:dyDescent="0.25">
      <c r="A426" t="s">
        <v>0</v>
      </c>
      <c r="B426" s="1">
        <v>44196</v>
      </c>
      <c r="C426" t="s">
        <v>1</v>
      </c>
      <c r="D426" t="s">
        <v>23</v>
      </c>
      <c r="E426">
        <v>-4414000000</v>
      </c>
      <c r="F426" s="2">
        <v>45986.11859953704</v>
      </c>
      <c r="G426" t="str">
        <f>VLOOKUP(D426,MAP!B:C,2,0)</f>
        <v>Operating Income</v>
      </c>
      <c r="H426" t="str">
        <f>VLOOKUP(D426,MAP!B:G,4,0)</f>
        <v>EBIT</v>
      </c>
    </row>
    <row r="427" spans="1:8" x14ac:dyDescent="0.25">
      <c r="A427" t="s">
        <v>0</v>
      </c>
      <c r="B427" s="1">
        <v>43830</v>
      </c>
      <c r="C427" t="s">
        <v>1</v>
      </c>
      <c r="D427" t="s">
        <v>23</v>
      </c>
      <c r="E427">
        <v>-2615000000</v>
      </c>
      <c r="F427" s="2">
        <v>45986.11859953704</v>
      </c>
      <c r="G427" t="str">
        <f>VLOOKUP(D427,MAP!B:C,2,0)</f>
        <v>Operating Income</v>
      </c>
      <c r="H427" t="str">
        <f>VLOOKUP(D427,MAP!B:G,4,0)</f>
        <v>EBIT</v>
      </c>
    </row>
    <row r="428" spans="1:8" x14ac:dyDescent="0.25">
      <c r="A428" t="s">
        <v>0</v>
      </c>
      <c r="B428" s="1">
        <v>43465</v>
      </c>
      <c r="C428" t="s">
        <v>1</v>
      </c>
      <c r="D428" t="s">
        <v>23</v>
      </c>
      <c r="E428">
        <v>1969000000</v>
      </c>
      <c r="F428" s="2">
        <v>45986.11859953704</v>
      </c>
      <c r="G428" t="str">
        <f>VLOOKUP(D428,MAP!B:C,2,0)</f>
        <v>Operating Income</v>
      </c>
      <c r="H428" t="str">
        <f>VLOOKUP(D428,MAP!B:G,4,0)</f>
        <v>EBIT</v>
      </c>
    </row>
    <row r="429" spans="1:8" x14ac:dyDescent="0.25">
      <c r="A429" t="s">
        <v>0</v>
      </c>
      <c r="B429" s="1">
        <v>43100</v>
      </c>
      <c r="C429" t="s">
        <v>1</v>
      </c>
      <c r="D429" t="s">
        <v>23</v>
      </c>
      <c r="E429">
        <v>847000000</v>
      </c>
      <c r="F429" s="2">
        <v>45986.11859953704</v>
      </c>
      <c r="G429" t="str">
        <f>VLOOKUP(D429,MAP!B:C,2,0)</f>
        <v>Operating Income</v>
      </c>
      <c r="H429" t="str">
        <f>VLOOKUP(D429,MAP!B:G,4,0)</f>
        <v>EBIT</v>
      </c>
    </row>
    <row r="430" spans="1:8" x14ac:dyDescent="0.25">
      <c r="A430" t="s">
        <v>0</v>
      </c>
      <c r="B430" s="1">
        <v>42735</v>
      </c>
      <c r="C430" t="s">
        <v>1</v>
      </c>
      <c r="D430" t="s">
        <v>23</v>
      </c>
      <c r="E430">
        <v>-144000000</v>
      </c>
      <c r="F430" s="2">
        <v>45986.11859953704</v>
      </c>
      <c r="G430" t="str">
        <f>VLOOKUP(D430,MAP!B:C,2,0)</f>
        <v>Operating Income</v>
      </c>
      <c r="H430" t="str">
        <f>VLOOKUP(D430,MAP!B:G,4,0)</f>
        <v>EBIT</v>
      </c>
    </row>
    <row r="431" spans="1:8" x14ac:dyDescent="0.25">
      <c r="A431" t="s">
        <v>0</v>
      </c>
      <c r="B431" s="1">
        <v>42369</v>
      </c>
      <c r="C431" t="s">
        <v>1</v>
      </c>
      <c r="D431" t="s">
        <v>23</v>
      </c>
      <c r="E431">
        <v>-25875000000</v>
      </c>
      <c r="F431" s="2">
        <v>45986.11859953704</v>
      </c>
      <c r="G431" t="str">
        <f>VLOOKUP(D431,MAP!B:C,2,0)</f>
        <v>Operating Income</v>
      </c>
      <c r="H431" t="str">
        <f>VLOOKUP(D431,MAP!B:G,4,0)</f>
        <v>EBIT</v>
      </c>
    </row>
    <row r="432" spans="1:8" x14ac:dyDescent="0.25">
      <c r="A432" t="s">
        <v>0</v>
      </c>
      <c r="B432" s="1">
        <v>42004</v>
      </c>
      <c r="C432" t="s">
        <v>1</v>
      </c>
      <c r="D432" t="s">
        <v>23</v>
      </c>
      <c r="E432">
        <v>-636000000</v>
      </c>
      <c r="F432" s="2">
        <v>45986.11859953704</v>
      </c>
      <c r="G432" t="str">
        <f>VLOOKUP(D432,MAP!B:C,2,0)</f>
        <v>Operating Income</v>
      </c>
      <c r="H432" t="str">
        <f>VLOOKUP(D432,MAP!B:G,4,0)</f>
        <v>EBIT</v>
      </c>
    </row>
    <row r="433" spans="1:8" x14ac:dyDescent="0.25">
      <c r="A433" t="s">
        <v>0</v>
      </c>
      <c r="B433" s="1">
        <v>41639</v>
      </c>
      <c r="C433" t="s">
        <v>1</v>
      </c>
      <c r="D433" t="s">
        <v>23</v>
      </c>
      <c r="E433">
        <v>4822000000</v>
      </c>
      <c r="F433" s="2">
        <v>45986.11859953704</v>
      </c>
      <c r="G433" t="str">
        <f>VLOOKUP(D433,MAP!B:C,2,0)</f>
        <v>Operating Income</v>
      </c>
      <c r="H433" t="str">
        <f>VLOOKUP(D433,MAP!B:G,4,0)</f>
        <v>EBIT</v>
      </c>
    </row>
    <row r="434" spans="1:8" x14ac:dyDescent="0.25">
      <c r="A434" t="s">
        <v>0</v>
      </c>
      <c r="B434" s="1">
        <v>41274</v>
      </c>
      <c r="C434" t="s">
        <v>1</v>
      </c>
      <c r="D434" t="s">
        <v>23</v>
      </c>
      <c r="E434">
        <v>5073000000</v>
      </c>
      <c r="F434" s="2">
        <v>45986.11859953704</v>
      </c>
      <c r="G434" t="str">
        <f>VLOOKUP(D434,MAP!B:C,2,0)</f>
        <v>Operating Income</v>
      </c>
      <c r="H434" t="str">
        <f>VLOOKUP(D434,MAP!B:G,4,0)</f>
        <v>EBIT</v>
      </c>
    </row>
    <row r="435" spans="1:8" x14ac:dyDescent="0.25">
      <c r="A435" t="s">
        <v>0</v>
      </c>
      <c r="B435" s="1">
        <v>40908</v>
      </c>
      <c r="C435" t="s">
        <v>1</v>
      </c>
      <c r="D435" t="s">
        <v>23</v>
      </c>
      <c r="E435">
        <v>8218000000</v>
      </c>
      <c r="F435" s="2">
        <v>45986.11859953704</v>
      </c>
      <c r="G435" t="str">
        <f>VLOOKUP(D435,MAP!B:C,2,0)</f>
        <v>Operating Income</v>
      </c>
      <c r="H435" t="str">
        <f>VLOOKUP(D435,MAP!B:G,4,0)</f>
        <v>EBIT</v>
      </c>
    </row>
    <row r="436" spans="1:8" x14ac:dyDescent="0.25">
      <c r="A436" t="s">
        <v>0</v>
      </c>
      <c r="B436" s="1">
        <v>40543</v>
      </c>
      <c r="C436" t="s">
        <v>1</v>
      </c>
      <c r="D436" t="s">
        <v>23</v>
      </c>
      <c r="E436">
        <v>5729000000</v>
      </c>
      <c r="F436" s="2">
        <v>45986.11859953704</v>
      </c>
      <c r="G436" t="str">
        <f>VLOOKUP(D436,MAP!B:C,2,0)</f>
        <v>Operating Income</v>
      </c>
      <c r="H436" t="str">
        <f>VLOOKUP(D436,MAP!B:G,4,0)</f>
        <v>EBIT</v>
      </c>
    </row>
    <row r="437" spans="1:8" x14ac:dyDescent="0.25">
      <c r="A437" t="s">
        <v>0</v>
      </c>
      <c r="B437" s="1">
        <v>40178</v>
      </c>
      <c r="C437" t="s">
        <v>1</v>
      </c>
      <c r="D437" t="s">
        <v>23</v>
      </c>
      <c r="E437">
        <v>574000000</v>
      </c>
      <c r="F437" s="2">
        <v>45986.11859953704</v>
      </c>
      <c r="G437" t="str">
        <f>VLOOKUP(D437,MAP!B:C,2,0)</f>
        <v>Operating Income</v>
      </c>
      <c r="H437" t="str">
        <f>VLOOKUP(D437,MAP!B:G,4,0)</f>
        <v>EBIT</v>
      </c>
    </row>
    <row r="438" spans="1:8" x14ac:dyDescent="0.25">
      <c r="A438" t="s">
        <v>0</v>
      </c>
      <c r="B438" s="1">
        <v>39813</v>
      </c>
      <c r="C438" t="s">
        <v>1</v>
      </c>
      <c r="D438" t="s">
        <v>23</v>
      </c>
      <c r="E438">
        <v>1212849000</v>
      </c>
      <c r="F438" s="2">
        <v>45986.11859953704</v>
      </c>
      <c r="G438" t="str">
        <f>VLOOKUP(D438,MAP!B:C,2,0)</f>
        <v>Operating Income</v>
      </c>
      <c r="H438" t="str">
        <f>VLOOKUP(D438,MAP!B:G,4,0)</f>
        <v>EBIT</v>
      </c>
    </row>
    <row r="439" spans="1:8" x14ac:dyDescent="0.25">
      <c r="A439" t="s">
        <v>0</v>
      </c>
      <c r="B439" s="1">
        <v>39447</v>
      </c>
      <c r="C439" t="s">
        <v>1</v>
      </c>
      <c r="D439" t="s">
        <v>23</v>
      </c>
      <c r="E439">
        <v>4951217000</v>
      </c>
      <c r="F439" s="2">
        <v>45986.11859953704</v>
      </c>
      <c r="G439" t="str">
        <f>VLOOKUP(D439,MAP!B:C,2,0)</f>
        <v>Operating Income</v>
      </c>
      <c r="H439" t="str">
        <f>VLOOKUP(D439,MAP!B:G,4,0)</f>
        <v>EBIT</v>
      </c>
    </row>
    <row r="440" spans="1:8" x14ac:dyDescent="0.25">
      <c r="A440" t="s">
        <v>0</v>
      </c>
      <c r="B440" s="1">
        <v>39082</v>
      </c>
      <c r="C440" t="s">
        <v>1</v>
      </c>
      <c r="D440" t="s">
        <v>23</v>
      </c>
      <c r="E440">
        <v>4005534000</v>
      </c>
      <c r="F440" s="2">
        <v>45986.11859953704</v>
      </c>
      <c r="G440" t="str">
        <f>VLOOKUP(D440,MAP!B:C,2,0)</f>
        <v>Operating Income</v>
      </c>
      <c r="H440" t="str">
        <f>VLOOKUP(D440,MAP!B:G,4,0)</f>
        <v>EBIT</v>
      </c>
    </row>
    <row r="441" spans="1:8" x14ac:dyDescent="0.25">
      <c r="A441" t="s">
        <v>0</v>
      </c>
      <c r="B441" s="1">
        <v>38717</v>
      </c>
      <c r="C441" t="s">
        <v>1</v>
      </c>
      <c r="D441" t="s">
        <v>23</v>
      </c>
      <c r="E441">
        <v>4376297000</v>
      </c>
      <c r="F441" s="2">
        <v>45986.11859953704</v>
      </c>
      <c r="G441" t="str">
        <f>VLOOKUP(D441,MAP!B:C,2,0)</f>
        <v>Operating Income</v>
      </c>
      <c r="H441" t="str">
        <f>VLOOKUP(D441,MAP!B:G,4,0)</f>
        <v>EBIT</v>
      </c>
    </row>
    <row r="442" spans="1:8" x14ac:dyDescent="0.25">
      <c r="A442" t="s">
        <v>0</v>
      </c>
      <c r="B442" s="1">
        <v>45657</v>
      </c>
      <c r="C442" t="s">
        <v>1</v>
      </c>
      <c r="D442" t="s">
        <v>24</v>
      </c>
      <c r="E442">
        <v>4174000000</v>
      </c>
      <c r="F442" s="2">
        <v>45986.11859953704</v>
      </c>
      <c r="G442" t="str">
        <f>VLOOKUP(D442,MAP!B:C,2,0)</f>
        <v>Operating Income</v>
      </c>
      <c r="H442" t="str">
        <f>VLOOKUP(D442,MAP!B:G,4,0)</f>
        <v>EBITDA</v>
      </c>
    </row>
    <row r="443" spans="1:8" x14ac:dyDescent="0.25">
      <c r="A443" t="s">
        <v>0</v>
      </c>
      <c r="B443" s="1">
        <v>45291</v>
      </c>
      <c r="C443" t="s">
        <v>1</v>
      </c>
      <c r="D443" t="s">
        <v>24</v>
      </c>
      <c r="E443">
        <v>4750000000</v>
      </c>
      <c r="F443" s="2">
        <v>45986.11859953704</v>
      </c>
      <c r="G443" t="str">
        <f>VLOOKUP(D443,MAP!B:C,2,0)</f>
        <v>Operating Income</v>
      </c>
      <c r="H443" t="str">
        <f>VLOOKUP(D443,MAP!B:G,4,0)</f>
        <v>EBITDA</v>
      </c>
    </row>
    <row r="444" spans="1:8" x14ac:dyDescent="0.25">
      <c r="A444" t="s">
        <v>0</v>
      </c>
      <c r="B444" s="1">
        <v>44926</v>
      </c>
      <c r="C444" t="s">
        <v>1</v>
      </c>
      <c r="D444" t="s">
        <v>24</v>
      </c>
      <c r="E444">
        <v>7613000000</v>
      </c>
      <c r="F444" s="2">
        <v>45986.11859953704</v>
      </c>
      <c r="G444" t="str">
        <f>VLOOKUP(D444,MAP!B:C,2,0)</f>
        <v>Operating Income</v>
      </c>
      <c r="H444" t="str">
        <f>VLOOKUP(D444,MAP!B:G,4,0)</f>
        <v>EBITDA</v>
      </c>
    </row>
    <row r="445" spans="1:8" x14ac:dyDescent="0.25">
      <c r="A445" t="s">
        <v>0</v>
      </c>
      <c r="B445" s="1">
        <v>44561</v>
      </c>
      <c r="C445" t="s">
        <v>1</v>
      </c>
      <c r="D445" t="s">
        <v>24</v>
      </c>
      <c r="E445">
        <v>3661000000</v>
      </c>
      <c r="F445" s="2">
        <v>45986.11859953704</v>
      </c>
      <c r="G445" t="str">
        <f>VLOOKUP(D445,MAP!B:C,2,0)</f>
        <v>Operating Income</v>
      </c>
      <c r="H445" t="str">
        <f>VLOOKUP(D445,MAP!B:G,4,0)</f>
        <v>EBITDA</v>
      </c>
    </row>
    <row r="446" spans="1:8" x14ac:dyDescent="0.25">
      <c r="A446" t="s">
        <v>0</v>
      </c>
      <c r="B446" s="1">
        <v>44196</v>
      </c>
      <c r="C446" t="s">
        <v>1</v>
      </c>
      <c r="D446" t="s">
        <v>24</v>
      </c>
      <c r="E446">
        <v>-2642000000</v>
      </c>
      <c r="F446" s="2">
        <v>45986.11859953704</v>
      </c>
      <c r="G446" t="str">
        <f>VLOOKUP(D446,MAP!B:C,2,0)</f>
        <v>Operating Income</v>
      </c>
      <c r="H446" t="str">
        <f>VLOOKUP(D446,MAP!B:G,4,0)</f>
        <v>EBITDA</v>
      </c>
    </row>
    <row r="447" spans="1:8" x14ac:dyDescent="0.25">
      <c r="A447" t="s">
        <v>0</v>
      </c>
      <c r="B447" s="1">
        <v>43830</v>
      </c>
      <c r="C447" t="s">
        <v>1</v>
      </c>
      <c r="D447" t="s">
        <v>24</v>
      </c>
      <c r="E447">
        <v>65000000</v>
      </c>
      <c r="F447" s="2">
        <v>45986.11859953704</v>
      </c>
      <c r="G447" t="str">
        <f>VLOOKUP(D447,MAP!B:C,2,0)</f>
        <v>Operating Income</v>
      </c>
      <c r="H447" t="str">
        <f>VLOOKUP(D447,MAP!B:G,4,0)</f>
        <v>EBITDA</v>
      </c>
    </row>
    <row r="448" spans="1:8" x14ac:dyDescent="0.25">
      <c r="A448" t="s">
        <v>0</v>
      </c>
      <c r="B448" s="1">
        <v>43465</v>
      </c>
      <c r="C448" t="s">
        <v>1</v>
      </c>
      <c r="D448" t="s">
        <v>24</v>
      </c>
      <c r="E448">
        <v>2109000000</v>
      </c>
      <c r="F448" s="2">
        <v>45986.11859953704</v>
      </c>
      <c r="G448" t="str">
        <f>VLOOKUP(D448,MAP!B:C,2,0)</f>
        <v>Operating Income</v>
      </c>
      <c r="H448" t="str">
        <f>VLOOKUP(D448,MAP!B:G,4,0)</f>
        <v>EBITDA</v>
      </c>
    </row>
    <row r="449" spans="1:8" x14ac:dyDescent="0.25">
      <c r="A449" t="s">
        <v>0</v>
      </c>
      <c r="B449" s="1">
        <v>43100</v>
      </c>
      <c r="C449" t="s">
        <v>1</v>
      </c>
      <c r="D449" t="s">
        <v>24</v>
      </c>
      <c r="E449">
        <v>991000000</v>
      </c>
      <c r="F449" s="2">
        <v>45986.11859953704</v>
      </c>
      <c r="G449" t="str">
        <f>VLOOKUP(D449,MAP!B:C,2,0)</f>
        <v>Operating Income</v>
      </c>
      <c r="H449" t="str">
        <f>VLOOKUP(D449,MAP!B:G,4,0)</f>
        <v>EBITDA</v>
      </c>
    </row>
    <row r="450" spans="1:8" x14ac:dyDescent="0.25">
      <c r="A450" t="s">
        <v>0</v>
      </c>
      <c r="B450" s="1">
        <v>42735</v>
      </c>
      <c r="C450" t="s">
        <v>1</v>
      </c>
      <c r="D450" t="s">
        <v>24</v>
      </c>
      <c r="E450">
        <v>14000000</v>
      </c>
      <c r="F450" s="2">
        <v>45986.11859953704</v>
      </c>
      <c r="G450" t="str">
        <f>VLOOKUP(D450,MAP!B:C,2,0)</f>
        <v>Operating Income</v>
      </c>
      <c r="H450" t="str">
        <f>VLOOKUP(D450,MAP!B:G,4,0)</f>
        <v>EBITDA</v>
      </c>
    </row>
    <row r="451" spans="1:8" x14ac:dyDescent="0.25">
      <c r="A451" t="s">
        <v>0</v>
      </c>
      <c r="B451" s="1">
        <v>42369</v>
      </c>
      <c r="C451" t="s">
        <v>1</v>
      </c>
      <c r="D451" t="s">
        <v>24</v>
      </c>
      <c r="E451">
        <v>-25551000000</v>
      </c>
      <c r="F451" s="2">
        <v>45986.11859953704</v>
      </c>
      <c r="G451" t="str">
        <f>VLOOKUP(D451,MAP!B:C,2,0)</f>
        <v>Operating Income</v>
      </c>
      <c r="H451" t="str">
        <f>VLOOKUP(D451,MAP!B:G,4,0)</f>
        <v>EBITDA</v>
      </c>
    </row>
    <row r="452" spans="1:8" x14ac:dyDescent="0.25">
      <c r="A452" t="s">
        <v>0</v>
      </c>
      <c r="B452" s="1">
        <v>42004</v>
      </c>
      <c r="C452" t="s">
        <v>1</v>
      </c>
      <c r="D452" t="s">
        <v>24</v>
      </c>
      <c r="E452">
        <v>-226000000</v>
      </c>
      <c r="F452" s="2">
        <v>45986.11859953704</v>
      </c>
      <c r="G452" t="str">
        <f>VLOOKUP(D452,MAP!B:C,2,0)</f>
        <v>Operating Income</v>
      </c>
      <c r="H452" t="str">
        <f>VLOOKUP(D452,MAP!B:G,4,0)</f>
        <v>EBITDA</v>
      </c>
    </row>
    <row r="453" spans="1:8" x14ac:dyDescent="0.25">
      <c r="A453" t="s">
        <v>0</v>
      </c>
      <c r="B453" s="1">
        <v>41639</v>
      </c>
      <c r="C453" t="s">
        <v>1</v>
      </c>
      <c r="D453" t="s">
        <v>24</v>
      </c>
      <c r="E453">
        <v>5232000000</v>
      </c>
      <c r="F453" s="2">
        <v>45986.11859953704</v>
      </c>
      <c r="G453" t="str">
        <f>VLOOKUP(D453,MAP!B:C,2,0)</f>
        <v>Operating Income</v>
      </c>
      <c r="H453" t="str">
        <f>VLOOKUP(D453,MAP!B:G,4,0)</f>
        <v>EBITDA</v>
      </c>
    </row>
    <row r="454" spans="1:8" x14ac:dyDescent="0.25">
      <c r="A454" t="s">
        <v>0</v>
      </c>
      <c r="B454" s="1">
        <v>41274</v>
      </c>
      <c r="C454" t="s">
        <v>1</v>
      </c>
      <c r="D454" t="s">
        <v>24</v>
      </c>
      <c r="E454">
        <v>12182000000</v>
      </c>
      <c r="F454" s="2">
        <v>45986.11859953704</v>
      </c>
      <c r="G454" t="str">
        <f>VLOOKUP(D454,MAP!B:C,2,0)</f>
        <v>Operating Income</v>
      </c>
      <c r="H454" t="str">
        <f>VLOOKUP(D454,MAP!B:G,4,0)</f>
        <v>EBITDA</v>
      </c>
    </row>
    <row r="455" spans="1:8" x14ac:dyDescent="0.25">
      <c r="A455" t="s">
        <v>0</v>
      </c>
      <c r="B455" s="1">
        <v>40908</v>
      </c>
      <c r="C455" t="s">
        <v>1</v>
      </c>
      <c r="D455" t="s">
        <v>24</v>
      </c>
      <c r="E455">
        <v>12467000000</v>
      </c>
      <c r="F455" s="2">
        <v>45986.11859953704</v>
      </c>
      <c r="G455" t="str">
        <f>VLOOKUP(D455,MAP!B:C,2,0)</f>
        <v>Operating Income</v>
      </c>
      <c r="H455" t="str">
        <f>VLOOKUP(D455,MAP!B:G,4,0)</f>
        <v>EBITDA</v>
      </c>
    </row>
    <row r="456" spans="1:8" x14ac:dyDescent="0.25">
      <c r="A456" t="s">
        <v>0</v>
      </c>
      <c r="B456" s="1">
        <v>40543</v>
      </c>
      <c r="C456" t="s">
        <v>1</v>
      </c>
      <c r="D456" t="s">
        <v>24</v>
      </c>
      <c r="E456">
        <v>8812000000</v>
      </c>
      <c r="F456" s="2">
        <v>45986.11859953704</v>
      </c>
      <c r="G456" t="str">
        <f>VLOOKUP(D456,MAP!B:C,2,0)</f>
        <v>Operating Income</v>
      </c>
      <c r="H456" t="str">
        <f>VLOOKUP(D456,MAP!B:G,4,0)</f>
        <v>EBITDA</v>
      </c>
    </row>
    <row r="457" spans="1:8" x14ac:dyDescent="0.25">
      <c r="A457" t="s">
        <v>0</v>
      </c>
      <c r="B457" s="1">
        <v>40178</v>
      </c>
      <c r="C457" t="s">
        <v>1</v>
      </c>
      <c r="D457" t="s">
        <v>24</v>
      </c>
      <c r="E457">
        <v>5787000000</v>
      </c>
      <c r="F457" s="2">
        <v>45986.11859953704</v>
      </c>
      <c r="G457" t="str">
        <f>VLOOKUP(D457,MAP!B:C,2,0)</f>
        <v>Operating Income</v>
      </c>
      <c r="H457" t="str">
        <f>VLOOKUP(D457,MAP!B:G,4,0)</f>
        <v>EBITDA</v>
      </c>
    </row>
    <row r="458" spans="1:8" x14ac:dyDescent="0.25">
      <c r="A458" t="s">
        <v>0</v>
      </c>
      <c r="B458" s="1">
        <v>39813</v>
      </c>
      <c r="C458" t="s">
        <v>1</v>
      </c>
      <c r="D458" t="s">
        <v>24</v>
      </c>
      <c r="E458">
        <v>9063107000</v>
      </c>
      <c r="F458" s="2">
        <v>45986.11859953704</v>
      </c>
      <c r="G458" t="str">
        <f>VLOOKUP(D458,MAP!B:C,2,0)</f>
        <v>Operating Income</v>
      </c>
      <c r="H458" t="str">
        <f>VLOOKUP(D458,MAP!B:G,4,0)</f>
        <v>EBITDA</v>
      </c>
    </row>
    <row r="459" spans="1:8" x14ac:dyDescent="0.25">
      <c r="A459" t="s">
        <v>0</v>
      </c>
      <c r="B459" s="1">
        <v>39447</v>
      </c>
      <c r="C459" t="s">
        <v>1</v>
      </c>
      <c r="D459" t="s">
        <v>24</v>
      </c>
      <c r="E459">
        <v>7299008000</v>
      </c>
      <c r="F459" s="2">
        <v>45986.11859953704</v>
      </c>
      <c r="G459" t="str">
        <f>VLOOKUP(D459,MAP!B:C,2,0)</f>
        <v>Operating Income</v>
      </c>
      <c r="H459" t="str">
        <f>VLOOKUP(D459,MAP!B:G,4,0)</f>
        <v>EBITDA</v>
      </c>
    </row>
    <row r="460" spans="1:8" x14ac:dyDescent="0.25">
      <c r="A460" t="s">
        <v>0</v>
      </c>
      <c r="B460" s="1">
        <v>39082</v>
      </c>
      <c r="C460" t="s">
        <v>1</v>
      </c>
      <c r="D460" t="s">
        <v>24</v>
      </c>
      <c r="E460">
        <v>5821893000</v>
      </c>
      <c r="F460" s="2">
        <v>45986.11859953704</v>
      </c>
      <c r="G460" t="str">
        <f>VLOOKUP(D460,MAP!B:C,2,0)</f>
        <v>Operating Income</v>
      </c>
      <c r="H460" t="str">
        <f>VLOOKUP(D460,MAP!B:G,4,0)</f>
        <v>EBITDA</v>
      </c>
    </row>
    <row r="461" spans="1:8" x14ac:dyDescent="0.25">
      <c r="A461" t="s">
        <v>0</v>
      </c>
      <c r="B461" s="1">
        <v>38717</v>
      </c>
      <c r="C461" t="s">
        <v>1</v>
      </c>
      <c r="D461" t="s">
        <v>24</v>
      </c>
      <c r="E461">
        <v>5791979000</v>
      </c>
      <c r="F461" s="2">
        <v>45986.11859953704</v>
      </c>
      <c r="G461" t="str">
        <f>VLOOKUP(D461,MAP!B:C,2,0)</f>
        <v>Operating Income</v>
      </c>
      <c r="H461" t="str">
        <f>VLOOKUP(D461,MAP!B:G,4,0)</f>
        <v>EBITDA</v>
      </c>
    </row>
    <row r="462" spans="1:8" x14ac:dyDescent="0.25">
      <c r="A462" t="s">
        <v>0</v>
      </c>
      <c r="B462" s="1">
        <v>45657</v>
      </c>
      <c r="C462" t="s">
        <v>1</v>
      </c>
      <c r="D462" t="s">
        <v>25</v>
      </c>
      <c r="E462">
        <v>804000000</v>
      </c>
      <c r="F462" s="2">
        <v>45986.11859953704</v>
      </c>
      <c r="G462" t="str">
        <f>VLOOKUP(D462,MAP!B:C,2,0)</f>
        <v>Net Income</v>
      </c>
      <c r="H462" t="str">
        <f>VLOOKUP(D462,MAP!B:G,4,0)</f>
        <v>Net Income</v>
      </c>
    </row>
    <row r="463" spans="1:8" x14ac:dyDescent="0.25">
      <c r="A463" t="s">
        <v>0</v>
      </c>
      <c r="B463" s="1">
        <v>45291</v>
      </c>
      <c r="C463" t="s">
        <v>1</v>
      </c>
      <c r="D463" t="s">
        <v>25</v>
      </c>
      <c r="E463">
        <v>2855000000</v>
      </c>
      <c r="F463" s="2">
        <v>45986.11859953704</v>
      </c>
      <c r="G463" t="str">
        <f>VLOOKUP(D463,MAP!B:C,2,0)</f>
        <v>Net Income</v>
      </c>
      <c r="H463" t="str">
        <f>VLOOKUP(D463,MAP!B:G,4,0)</f>
        <v>Net Income</v>
      </c>
    </row>
    <row r="464" spans="1:8" x14ac:dyDescent="0.25">
      <c r="A464" t="s">
        <v>0</v>
      </c>
      <c r="B464" s="1">
        <v>44926</v>
      </c>
      <c r="C464" t="s">
        <v>1</v>
      </c>
      <c r="D464" t="s">
        <v>25</v>
      </c>
      <c r="E464">
        <v>3674000000</v>
      </c>
      <c r="F464" s="2">
        <v>45986.11859953704</v>
      </c>
      <c r="G464" t="str">
        <f>VLOOKUP(D464,MAP!B:C,2,0)</f>
        <v>Net Income</v>
      </c>
      <c r="H464" t="str">
        <f>VLOOKUP(D464,MAP!B:G,4,0)</f>
        <v>Net Income</v>
      </c>
    </row>
    <row r="465" spans="1:8" x14ac:dyDescent="0.25">
      <c r="A465" t="s">
        <v>0</v>
      </c>
      <c r="B465" s="1">
        <v>44561</v>
      </c>
      <c r="C465" t="s">
        <v>1</v>
      </c>
      <c r="D465" t="s">
        <v>25</v>
      </c>
      <c r="E465">
        <v>1135000000</v>
      </c>
      <c r="F465" s="2">
        <v>45986.11859953704</v>
      </c>
      <c r="G465" t="str">
        <f>VLOOKUP(D465,MAP!B:C,2,0)</f>
        <v>Net Income</v>
      </c>
      <c r="H465" t="str">
        <f>VLOOKUP(D465,MAP!B:G,4,0)</f>
        <v>Net Income</v>
      </c>
    </row>
    <row r="466" spans="1:8" x14ac:dyDescent="0.25">
      <c r="A466" t="s">
        <v>0</v>
      </c>
      <c r="B466" s="1">
        <v>44196</v>
      </c>
      <c r="C466" t="s">
        <v>1</v>
      </c>
      <c r="D466" t="s">
        <v>25</v>
      </c>
      <c r="E466">
        <v>-4784000000</v>
      </c>
      <c r="F466" s="2">
        <v>45986.11859953704</v>
      </c>
      <c r="G466" t="str">
        <f>VLOOKUP(D466,MAP!B:C,2,0)</f>
        <v>Net Income</v>
      </c>
      <c r="H466" t="str">
        <f>VLOOKUP(D466,MAP!B:G,4,0)</f>
        <v>Net Income</v>
      </c>
    </row>
    <row r="467" spans="1:8" x14ac:dyDescent="0.25">
      <c r="A467" t="s">
        <v>0</v>
      </c>
      <c r="B467" s="1">
        <v>43830</v>
      </c>
      <c r="C467" t="s">
        <v>1</v>
      </c>
      <c r="D467" t="s">
        <v>25</v>
      </c>
      <c r="E467">
        <v>-3515000000</v>
      </c>
      <c r="F467" s="2">
        <v>45986.11859953704</v>
      </c>
      <c r="G467" t="str">
        <f>VLOOKUP(D467,MAP!B:C,2,0)</f>
        <v>Net Income</v>
      </c>
      <c r="H467" t="str">
        <f>VLOOKUP(D467,MAP!B:G,4,0)</f>
        <v>Net Income</v>
      </c>
    </row>
    <row r="468" spans="1:8" x14ac:dyDescent="0.25">
      <c r="A468" t="s">
        <v>0</v>
      </c>
      <c r="B468" s="1">
        <v>43465</v>
      </c>
      <c r="C468" t="s">
        <v>1</v>
      </c>
      <c r="D468" t="s">
        <v>25</v>
      </c>
      <c r="E468">
        <v>40000000</v>
      </c>
      <c r="F468" s="2">
        <v>45986.11859953704</v>
      </c>
      <c r="G468" t="str">
        <f>VLOOKUP(D468,MAP!B:C,2,0)</f>
        <v>Net Income</v>
      </c>
      <c r="H468" t="str">
        <f>VLOOKUP(D468,MAP!B:G,4,0)</f>
        <v>Net Income</v>
      </c>
    </row>
    <row r="469" spans="1:8" x14ac:dyDescent="0.25">
      <c r="A469" t="s">
        <v>0</v>
      </c>
      <c r="B469" s="1">
        <v>43100</v>
      </c>
      <c r="C469" t="s">
        <v>1</v>
      </c>
      <c r="D469" t="s">
        <v>25</v>
      </c>
      <c r="E469">
        <v>1304000000</v>
      </c>
      <c r="F469" s="2">
        <v>45986.11859953704</v>
      </c>
      <c r="G469" t="str">
        <f>VLOOKUP(D469,MAP!B:C,2,0)</f>
        <v>Net Income</v>
      </c>
      <c r="H469" t="str">
        <f>VLOOKUP(D469,MAP!B:G,4,0)</f>
        <v>Net Income</v>
      </c>
    </row>
    <row r="470" spans="1:8" x14ac:dyDescent="0.25">
      <c r="A470" t="s">
        <v>0</v>
      </c>
      <c r="B470" s="1">
        <v>42735</v>
      </c>
      <c r="C470" t="s">
        <v>1</v>
      </c>
      <c r="D470" t="s">
        <v>25</v>
      </c>
      <c r="E470">
        <v>-1405000000</v>
      </c>
      <c r="F470" s="2">
        <v>45986.11859953704</v>
      </c>
      <c r="G470" t="str">
        <f>VLOOKUP(D470,MAP!B:C,2,0)</f>
        <v>Net Income</v>
      </c>
      <c r="H470" t="str">
        <f>VLOOKUP(D470,MAP!B:G,4,0)</f>
        <v>Net Income</v>
      </c>
    </row>
    <row r="471" spans="1:8" x14ac:dyDescent="0.25">
      <c r="A471" t="s">
        <v>0</v>
      </c>
      <c r="B471" s="1">
        <v>42369</v>
      </c>
      <c r="C471" t="s">
        <v>1</v>
      </c>
      <c r="D471" t="s">
        <v>25</v>
      </c>
      <c r="E471">
        <v>-23119000000</v>
      </c>
      <c r="F471" s="2">
        <v>45986.11859953704</v>
      </c>
      <c r="G471" t="str">
        <f>VLOOKUP(D471,MAP!B:C,2,0)</f>
        <v>Net Income</v>
      </c>
      <c r="H471" t="str">
        <f>VLOOKUP(D471,MAP!B:G,4,0)</f>
        <v>Net Income</v>
      </c>
    </row>
    <row r="472" spans="1:8" x14ac:dyDescent="0.25">
      <c r="A472" t="s">
        <v>0</v>
      </c>
      <c r="B472" s="1">
        <v>42004</v>
      </c>
      <c r="C472" t="s">
        <v>1</v>
      </c>
      <c r="D472" t="s">
        <v>25</v>
      </c>
      <c r="E472">
        <v>-5403000000</v>
      </c>
      <c r="F472" s="2">
        <v>45986.11859953704</v>
      </c>
      <c r="G472" t="str">
        <f>VLOOKUP(D472,MAP!B:C,2,0)</f>
        <v>Net Income</v>
      </c>
      <c r="H472" t="str">
        <f>VLOOKUP(D472,MAP!B:G,4,0)</f>
        <v>Net Income</v>
      </c>
    </row>
    <row r="473" spans="1:8" x14ac:dyDescent="0.25">
      <c r="A473" t="s">
        <v>0</v>
      </c>
      <c r="B473" s="1">
        <v>41639</v>
      </c>
      <c r="C473" t="s">
        <v>1</v>
      </c>
      <c r="D473" t="s">
        <v>25</v>
      </c>
      <c r="E473">
        <v>2232000000</v>
      </c>
      <c r="F473" s="2">
        <v>45986.11859953704</v>
      </c>
      <c r="G473" t="str">
        <f>VLOOKUP(D473,MAP!B:C,2,0)</f>
        <v>Net Income</v>
      </c>
      <c r="H473" t="str">
        <f>VLOOKUP(D473,MAP!B:G,4,0)</f>
        <v>Net Income</v>
      </c>
    </row>
    <row r="474" spans="1:8" x14ac:dyDescent="0.25">
      <c r="A474" t="s">
        <v>0</v>
      </c>
      <c r="B474" s="1">
        <v>41274</v>
      </c>
      <c r="C474" t="s">
        <v>1</v>
      </c>
      <c r="D474" t="s">
        <v>25</v>
      </c>
      <c r="E474">
        <v>2001000000</v>
      </c>
      <c r="F474" s="2">
        <v>45986.11859953704</v>
      </c>
      <c r="G474" t="str">
        <f>VLOOKUP(D474,MAP!B:C,2,0)</f>
        <v>Net Income</v>
      </c>
      <c r="H474" t="str">
        <f>VLOOKUP(D474,MAP!B:G,4,0)</f>
        <v>Net Income</v>
      </c>
    </row>
    <row r="475" spans="1:8" x14ac:dyDescent="0.25">
      <c r="A475" t="s">
        <v>0</v>
      </c>
      <c r="B475" s="1">
        <v>40908</v>
      </c>
      <c r="C475" t="s">
        <v>1</v>
      </c>
      <c r="D475" t="s">
        <v>25</v>
      </c>
      <c r="E475">
        <v>4584000000</v>
      </c>
      <c r="F475" s="2">
        <v>45986.11859953704</v>
      </c>
      <c r="G475" t="str">
        <f>VLOOKUP(D475,MAP!B:C,2,0)</f>
        <v>Net Income</v>
      </c>
      <c r="H475" t="str">
        <f>VLOOKUP(D475,MAP!B:G,4,0)</f>
        <v>Net Income</v>
      </c>
    </row>
    <row r="476" spans="1:8" x14ac:dyDescent="0.25">
      <c r="A476" t="s">
        <v>0</v>
      </c>
      <c r="B476" s="1">
        <v>40543</v>
      </c>
      <c r="C476" t="s">
        <v>1</v>
      </c>
      <c r="D476" t="s">
        <v>25</v>
      </c>
      <c r="E476">
        <v>3032000000</v>
      </c>
      <c r="F476" s="2">
        <v>45986.11859953704</v>
      </c>
      <c r="G476" t="str">
        <f>VLOOKUP(D476,MAP!B:C,2,0)</f>
        <v>Net Income</v>
      </c>
      <c r="H476" t="str">
        <f>VLOOKUP(D476,MAP!B:G,4,0)</f>
        <v>Net Income</v>
      </c>
    </row>
    <row r="477" spans="1:8" x14ac:dyDescent="0.25">
      <c r="A477" t="s">
        <v>0</v>
      </c>
      <c r="B477" s="1">
        <v>40178</v>
      </c>
      <c r="C477" t="s">
        <v>1</v>
      </c>
      <c r="D477" t="s">
        <v>25</v>
      </c>
      <c r="E477">
        <v>-284398000</v>
      </c>
      <c r="F477" s="2">
        <v>45986.11859953704</v>
      </c>
      <c r="G477" t="str">
        <f>VLOOKUP(D477,MAP!B:C,2,0)</f>
        <v>Net Income</v>
      </c>
      <c r="H477" t="str">
        <f>VLOOKUP(D477,MAP!B:G,4,0)</f>
        <v>Net Income</v>
      </c>
    </row>
    <row r="478" spans="1:8" x14ac:dyDescent="0.25">
      <c r="A478" t="s">
        <v>0</v>
      </c>
      <c r="B478" s="1">
        <v>39813</v>
      </c>
      <c r="C478" t="s">
        <v>1</v>
      </c>
      <c r="D478" t="s">
        <v>25</v>
      </c>
      <c r="E478">
        <v>711954000</v>
      </c>
      <c r="F478" s="2">
        <v>45986.11859953704</v>
      </c>
      <c r="G478" t="str">
        <f>VLOOKUP(D478,MAP!B:C,2,0)</f>
        <v>Net Income</v>
      </c>
      <c r="H478" t="str">
        <f>VLOOKUP(D478,MAP!B:G,4,0)</f>
        <v>Net Income</v>
      </c>
    </row>
    <row r="479" spans="1:8" x14ac:dyDescent="0.25">
      <c r="A479" t="s">
        <v>0</v>
      </c>
      <c r="B479" s="1">
        <v>39447</v>
      </c>
      <c r="C479" t="s">
        <v>1</v>
      </c>
      <c r="D479" t="s">
        <v>25</v>
      </c>
      <c r="E479">
        <v>2812358000</v>
      </c>
      <c r="F479" s="2">
        <v>45986.11859953704</v>
      </c>
      <c r="G479" t="str">
        <f>VLOOKUP(D479,MAP!B:C,2,0)</f>
        <v>Net Income</v>
      </c>
      <c r="H479" t="str">
        <f>VLOOKUP(D479,MAP!B:G,4,0)</f>
        <v>Net Income</v>
      </c>
    </row>
    <row r="480" spans="1:8" x14ac:dyDescent="0.25">
      <c r="A480" t="s">
        <v>0</v>
      </c>
      <c r="B480" s="1">
        <v>39082</v>
      </c>
      <c r="C480" t="s">
        <v>1</v>
      </c>
      <c r="D480" t="s">
        <v>25</v>
      </c>
      <c r="E480">
        <v>2552451000</v>
      </c>
      <c r="F480" s="2">
        <v>45986.11859953704</v>
      </c>
      <c r="G480" t="str">
        <f>VLOOKUP(D480,MAP!B:C,2,0)</f>
        <v>Net Income</v>
      </c>
      <c r="H480" t="str">
        <f>VLOOKUP(D480,MAP!B:G,4,0)</f>
        <v>Net Income</v>
      </c>
    </row>
    <row r="481" spans="1:8" x14ac:dyDescent="0.25">
      <c r="A481" t="s">
        <v>0</v>
      </c>
      <c r="B481" s="1">
        <v>38717</v>
      </c>
      <c r="C481" t="s">
        <v>1</v>
      </c>
      <c r="D481" t="s">
        <v>25</v>
      </c>
      <c r="E481">
        <v>2623730000</v>
      </c>
      <c r="F481" s="2">
        <v>45986.11859953704</v>
      </c>
      <c r="G481" t="str">
        <f>VLOOKUP(D481,MAP!B:C,2,0)</f>
        <v>Net Income</v>
      </c>
      <c r="H481" t="str">
        <f>VLOOKUP(D481,MAP!B:G,4,0)</f>
        <v>Net Income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Rodriguez Walton</dc:creator>
  <cp:lastModifiedBy>Samuel Rodriguez Walton</cp:lastModifiedBy>
  <dcterms:created xsi:type="dcterms:W3CDTF">2025-12-04T05:06:21Z</dcterms:created>
  <dcterms:modified xsi:type="dcterms:W3CDTF">2025-12-04T05:41:12Z</dcterms:modified>
</cp:coreProperties>
</file>