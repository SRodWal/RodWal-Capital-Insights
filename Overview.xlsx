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"/>
    </mc:Choice>
  </mc:AlternateContent>
  <xr:revisionPtr revIDLastSave="42" documentId="8_{D60A6F84-4477-4005-8E6E-F694806FED89}" xr6:coauthVersionLast="47" xr6:coauthVersionMax="47" xr10:uidLastSave="{5049C7D2-EFC6-4308-AA87-43993126BD80}"/>
  <bookViews>
    <workbookView xWindow="-120" yWindow="-120" windowWidth="29040" windowHeight="15720" xr2:uid="{516D1755-2830-47A9-B007-CE0656FA4FE6}"/>
  </bookViews>
  <sheets>
    <sheet name="Portfolio" sheetId="1" r:id="rId1"/>
    <sheet name="Covariance" sheetId="2" r:id="rId2"/>
  </sheets>
  <definedNames>
    <definedName name="solver_adj" localSheetId="0" hidden="1">Portfolio!$K$12:$K$14</definedName>
    <definedName name="solver_cvg" localSheetId="0" hidden="1">0.0001</definedName>
    <definedName name="solver_drv" localSheetId="0" hidden="1">2</definedName>
    <definedName name="solver_eng" localSheetId="0" hidden="1">3</definedName>
    <definedName name="solver_est" localSheetId="0" hidden="1">1</definedName>
    <definedName name="solver_itr" localSheetId="0" hidden="1">2147483647</definedName>
    <definedName name="solver_lhs1" localSheetId="0" hidden="1">Portfolio!$K$10</definedName>
    <definedName name="solver_lhs2" localSheetId="0" hidden="1">Portfolio!$K$12:$K$14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Portfolio!$C$4</definedName>
    <definedName name="solver_pre" localSheetId="0" hidden="1">0.000001</definedName>
    <definedName name="solver_rbv" localSheetId="0" hidden="1">2</definedName>
    <definedName name="solver_rel1" localSheetId="0" hidden="1">2</definedName>
    <definedName name="solver_rel2" localSheetId="0" hidden="1">3</definedName>
    <definedName name="solver_rhs1" localSheetId="0" hidden="1">1</definedName>
    <definedName name="solver_rhs2" localSheetId="0" hidden="1">0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I17" i="1" s="1"/>
  <c r="I14" i="1"/>
  <c r="I13" i="1"/>
  <c r="I12" i="1"/>
  <c r="H16" i="1"/>
  <c r="I16" i="1" s="1"/>
  <c r="H15" i="1"/>
  <c r="I15" i="1" s="1"/>
  <c r="F13" i="1"/>
  <c r="C5" i="1" a="1"/>
  <c r="C5" i="1" s="1"/>
  <c r="K13" i="1"/>
  <c r="K10" i="1" s="1"/>
  <c r="H12" i="1" l="1"/>
  <c r="F12" i="1"/>
  <c r="H14" i="1"/>
  <c r="F10" i="1" l="1"/>
  <c r="H13" i="1"/>
  <c r="H10" i="1"/>
  <c r="G12" i="1"/>
  <c r="G10" i="1" s="1"/>
  <c r="J16" i="1" l="1"/>
  <c r="J15" i="1"/>
  <c r="I10" i="1"/>
  <c r="J14" i="1"/>
  <c r="J12" i="1"/>
  <c r="J13" i="1"/>
  <c r="C2" i="1" a="1"/>
  <c r="C2" i="1" s="1"/>
  <c r="C6" i="1"/>
  <c r="J10" i="1" l="1"/>
  <c r="B5" i="1" a="1"/>
  <c r="B5" i="1" s="1"/>
  <c r="B6" i="1" s="1"/>
  <c r="B2" i="1" a="1"/>
  <c r="B2" i="1" s="1"/>
  <c r="C7" i="1"/>
  <c r="C4" i="1"/>
  <c r="B7" i="1" l="1"/>
  <c r="B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<sst xmlns="http://schemas.openxmlformats.org/spreadsheetml/2006/main" count="40" uniqueCount="31">
  <si>
    <t>Type</t>
  </si>
  <si>
    <t>Platform</t>
  </si>
  <si>
    <t>BBVA</t>
  </si>
  <si>
    <t>CETES</t>
  </si>
  <si>
    <t>XTB</t>
  </si>
  <si>
    <t>Initial $</t>
  </si>
  <si>
    <t>Returns $</t>
  </si>
  <si>
    <t>Returns %</t>
  </si>
  <si>
    <t>Latest Value</t>
  </si>
  <si>
    <t>USD Equiv</t>
  </si>
  <si>
    <t>Expected %</t>
  </si>
  <si>
    <t>Volatility</t>
  </si>
  <si>
    <t>Stocks &amp; ETFs</t>
  </si>
  <si>
    <t>Sbtotal</t>
  </si>
  <si>
    <t>Risk Free</t>
  </si>
  <si>
    <t>Shape Ratio</t>
  </si>
  <si>
    <t>Variance</t>
  </si>
  <si>
    <t>STD</t>
  </si>
  <si>
    <t>Protf. Return</t>
  </si>
  <si>
    <t>Parameter</t>
  </si>
  <si>
    <t>Weights</t>
  </si>
  <si>
    <t>Optimal Weights</t>
  </si>
  <si>
    <t>Optimal</t>
  </si>
  <si>
    <t>Actual</t>
  </si>
  <si>
    <t>Return/STD</t>
  </si>
  <si>
    <t>MXN Government Bonds</t>
  </si>
  <si>
    <t>BAC</t>
  </si>
  <si>
    <t>HNL USD Bonds</t>
  </si>
  <si>
    <t>HNL HNL Bonds</t>
  </si>
  <si>
    <t>HNL BONDS</t>
  </si>
  <si>
    <t>BNH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</si>
</sst>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1E40"/>
        <bgColor indexed="64"/>
      </patternFill>
    </fill>
    <fill>
      <patternFill patternType="solid">
        <fgColor rgb="FF2C6E4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0" fontId="0" fillId="0" borderId="0" xfId="0" applyAlignment="1">
      <alignment horizontal="center"/>
    </xf>
    <xf numFmtId="4" fontId="3" fillId="0" borderId="0" xfId="0" applyNumberFormat="1" applyFont="1"/>
    <xf numFmtId="9" fontId="3" fillId="0" borderId="0" xfId="1" applyFont="1" applyAlignment="1">
      <alignment horizontal="center" vertical="center"/>
    </xf>
    <xf numFmtId="0" fontId="3" fillId="0" borderId="0" xfId="0" applyFont="1"/>
    <xf numFmtId="16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6" fontId="0" fillId="0" borderId="0" xfId="1" applyNumberFormat="1" applyFont="1"/>
    <xf numFmtId="2" fontId="0" fillId="0" borderId="0" xfId="1" applyNumberFormat="1" applyFont="1" applyAlignment="1">
      <alignment horizontal="center" vertical="center"/>
    </xf>
    <xf numFmtId="10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2" borderId="0" xfId="0" applyFont="1" applyFill="1"/>
    <xf numFmtId="0" fontId="2" fillId="3" borderId="0" xfId="0" applyFont="1" applyFill="1"/>
    <xf numFmtId="0" fontId="3" fillId="0" borderId="0" xfId="0" applyFont="1" applyAlignment="1">
      <alignment horizontal="right"/>
    </xf>
    <xf numFmtId="0" fontId="4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10" fontId="1" fillId="0" borderId="0" xfId="1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B93E0-F994-4E59-B30E-6A296F0318C6}">
  <dimension ref="A1:U17"/>
  <sheetViews>
    <sheetView tabSelected="1" workbookViewId="0">
      <selection activeCell="K26" sqref="K26"/>
    </sheetView>
  </sheetViews>
  <sheetFormatPr defaultRowHeight="15" x14ac:dyDescent="0.25"/>
  <cols>
    <col min="1" max="1" width="12.5703125" bestFit="1" customWidth="1"/>
    <col min="2" max="2" width="7.140625" bestFit="1" customWidth="1"/>
    <col min="3" max="3" width="8.140625" bestFit="1" customWidth="1"/>
    <col min="4" max="4" width="23.28515625" bestFit="1" customWidth="1"/>
    <col min="5" max="5" width="8.7109375" bestFit="1" customWidth="1"/>
    <col min="6" max="6" width="8.140625" customWidth="1"/>
    <col min="7" max="7" width="12" customWidth="1"/>
    <col min="8" max="8" width="9.5703125" customWidth="1"/>
    <col min="9" max="13" width="10.140625" customWidth="1"/>
    <col min="14" max="14" width="9.42578125" bestFit="1" customWidth="1"/>
    <col min="18" max="18" width="18.28515625" bestFit="1" customWidth="1"/>
  </cols>
  <sheetData>
    <row r="1" spans="1:21" x14ac:dyDescent="0.25">
      <c r="A1" s="14" t="s">
        <v>19</v>
      </c>
      <c r="B1" s="14" t="s">
        <v>23</v>
      </c>
      <c r="C1" s="14" t="s">
        <v>22</v>
      </c>
    </row>
    <row r="2" spans="1:21" x14ac:dyDescent="0.25">
      <c r="A2" s="5" t="s">
        <v>18</v>
      </c>
      <c r="B2" s="19" cm="1">
        <f t="array" ref="B2">MMULT(TRANSPOSE(J12:J14),L12:L14)</f>
        <v>8.9882410506205546E-2</v>
      </c>
      <c r="C2" s="19" cm="1">
        <f t="array" ref="C2">MMULT(TRANSPOSE(K12:K14),L12:L14)</f>
        <v>8.0750000000000002E-2</v>
      </c>
    </row>
    <row r="3" spans="1:21" x14ac:dyDescent="0.25">
      <c r="A3" s="5" t="s">
        <v>14</v>
      </c>
      <c r="B3" s="19">
        <v>4.4999999999999998E-2</v>
      </c>
      <c r="C3" s="19">
        <v>4.4999999999999998E-2</v>
      </c>
    </row>
    <row r="4" spans="1:21" x14ac:dyDescent="0.25">
      <c r="A4" s="5" t="s">
        <v>15</v>
      </c>
      <c r="B4" s="8">
        <f>(B2-B3)/B6</f>
        <v>0.21192799233307164</v>
      </c>
      <c r="C4" s="8">
        <f>(C2-C3)/C6</f>
        <v>0.30741919289653646</v>
      </c>
    </row>
    <row r="5" spans="1:21" x14ac:dyDescent="0.25">
      <c r="A5" s="5" t="s">
        <v>16</v>
      </c>
      <c r="B5" s="19" cm="1">
        <f t="array" ref="B5">MMULT(TRANSPOSE(J12:J14),MMULT(Covariance!B2:D4,Portfolio!J12:J14))</f>
        <v>4.4851368562429564E-2</v>
      </c>
      <c r="C5" s="19" cm="1">
        <f t="array" ref="C5">MMULT(TRANSPOSE(K12:K14),MMULT(Covariance!B2:D4,Portfolio!K12:K14))</f>
        <v>1.3523532100000001E-2</v>
      </c>
    </row>
    <row r="6" spans="1:21" x14ac:dyDescent="0.25">
      <c r="A6" s="5" t="s">
        <v>17</v>
      </c>
      <c r="B6" s="19">
        <f>SQRT(B5)</f>
        <v>0.21178141694310568</v>
      </c>
      <c r="C6" s="19">
        <f>SQRT(C5)</f>
        <v>0.11629072232985743</v>
      </c>
    </row>
    <row r="7" spans="1:21" x14ac:dyDescent="0.25">
      <c r="A7" s="5" t="s">
        <v>24</v>
      </c>
      <c r="B7" s="8">
        <f>B2/B6</f>
        <v>0.42441122457100255</v>
      </c>
      <c r="C7" s="8">
        <f>C2/C6</f>
        <v>0.69438041472434453</v>
      </c>
      <c r="E7" s="12"/>
    </row>
    <row r="8" spans="1:21" x14ac:dyDescent="0.25">
      <c r="E8" s="12"/>
    </row>
    <row r="9" spans="1:21" x14ac:dyDescent="0.25">
      <c r="F9" s="21" t="s">
        <v>9</v>
      </c>
      <c r="G9" s="21"/>
      <c r="H9" s="21"/>
      <c r="I9" s="21"/>
      <c r="J9" s="13"/>
      <c r="K9" s="13"/>
      <c r="L9" s="2"/>
      <c r="M9" s="2"/>
    </row>
    <row r="10" spans="1:21" x14ac:dyDescent="0.25">
      <c r="D10" s="5" t="s">
        <v>9</v>
      </c>
      <c r="E10" s="16" t="s">
        <v>13</v>
      </c>
      <c r="F10" s="3">
        <f>SUBTOTAL(9,F12:F17)</f>
        <v>2602.1583783783785</v>
      </c>
      <c r="G10" s="3">
        <f t="shared" ref="G10:H10" si="0">SUBTOTAL(9,G12:G17)</f>
        <v>2924.0035135135131</v>
      </c>
      <c r="H10" s="3">
        <f t="shared" si="0"/>
        <v>321.84513513513497</v>
      </c>
      <c r="I10" s="4">
        <f t="shared" ref="I10" si="1">H10/F10</f>
        <v>0.12368391478757855</v>
      </c>
      <c r="J10" s="4">
        <f>SUM(J12:J14)</f>
        <v>1</v>
      </c>
      <c r="K10" s="4">
        <f>SUM(K12:K14)</f>
        <v>1</v>
      </c>
      <c r="L10" s="12"/>
      <c r="M10" s="12"/>
    </row>
    <row r="11" spans="1:21" ht="30" customHeight="1" x14ac:dyDescent="0.25">
      <c r="D11" s="18" t="s">
        <v>0</v>
      </c>
      <c r="E11" s="18" t="s">
        <v>1</v>
      </c>
      <c r="F11" s="18" t="s">
        <v>5</v>
      </c>
      <c r="G11" s="18" t="s">
        <v>8</v>
      </c>
      <c r="H11" s="18" t="s">
        <v>6</v>
      </c>
      <c r="I11" s="18" t="s">
        <v>7</v>
      </c>
      <c r="J11" s="20" t="s">
        <v>20</v>
      </c>
      <c r="K11" s="20" t="s">
        <v>21</v>
      </c>
      <c r="L11" s="20" t="s">
        <v>10</v>
      </c>
      <c r="M11" s="20" t="s">
        <v>11</v>
      </c>
    </row>
    <row r="12" spans="1:21" x14ac:dyDescent="0.25">
      <c r="D12" s="15" t="s">
        <v>25</v>
      </c>
      <c r="E12" s="15" t="s">
        <v>2</v>
      </c>
      <c r="F12" s="1">
        <f>(4992.71+4994.72)/18.5</f>
        <v>539.86108108108112</v>
      </c>
      <c r="G12" s="1">
        <f>F12+H12</f>
        <v>553.75621621621622</v>
      </c>
      <c r="H12" s="1">
        <f>(134.29+122.77)/18.5</f>
        <v>13.895135135135135</v>
      </c>
      <c r="I12" s="4">
        <f>IFERROR(H12/F12,0)</f>
        <v>2.5738353109859089E-2</v>
      </c>
      <c r="J12" s="4">
        <f>F12/$F$10</f>
        <v>0.2074666498268693</v>
      </c>
      <c r="K12" s="4">
        <v>0</v>
      </c>
      <c r="L12" s="12">
        <v>6.5000000000000002E-2</v>
      </c>
      <c r="M12" s="12">
        <v>0.08</v>
      </c>
      <c r="P12" s="6"/>
      <c r="R12" s="11"/>
      <c r="S12" s="10"/>
      <c r="U12" s="9"/>
    </row>
    <row r="13" spans="1:21" x14ac:dyDescent="0.25">
      <c r="D13" s="15" t="s">
        <v>25</v>
      </c>
      <c r="E13" s="15" t="s">
        <v>3</v>
      </c>
      <c r="F13" s="1">
        <f>5500/18.5</f>
        <v>297.29729729729729</v>
      </c>
      <c r="G13" s="1">
        <v>297.29729729729729</v>
      </c>
      <c r="H13" s="1">
        <f t="shared" ref="H13" si="2">G13-F13</f>
        <v>0</v>
      </c>
      <c r="I13" s="4">
        <f t="shared" ref="I13:I16" si="3">IFERROR(H13/F13,0)</f>
        <v>0</v>
      </c>
      <c r="J13" s="4">
        <f t="shared" ref="J13:J14" si="4">F13/$F$10</f>
        <v>0.11425026999416077</v>
      </c>
      <c r="K13" s="4">
        <f>1-K14</f>
        <v>0.77</v>
      </c>
      <c r="L13" s="12">
        <v>7.4999999999999997E-2</v>
      </c>
      <c r="M13" s="12">
        <v>0.08</v>
      </c>
      <c r="P13" s="6"/>
      <c r="R13" s="11"/>
      <c r="S13" s="10"/>
      <c r="U13" s="9"/>
    </row>
    <row r="14" spans="1:21" x14ac:dyDescent="0.25">
      <c r="D14" s="15" t="s">
        <v>12</v>
      </c>
      <c r="E14" s="15" t="s">
        <v>4</v>
      </c>
      <c r="F14" s="1">
        <v>1765</v>
      </c>
      <c r="G14" s="1">
        <v>2072.9499999999998</v>
      </c>
      <c r="H14" s="1">
        <f>G14-F14</f>
        <v>307.94999999999982</v>
      </c>
      <c r="I14" s="4">
        <f t="shared" si="3"/>
        <v>0.17447592067988657</v>
      </c>
      <c r="J14" s="4">
        <f t="shared" si="4"/>
        <v>0.67828308017896988</v>
      </c>
      <c r="K14" s="4">
        <v>0.23</v>
      </c>
      <c r="L14" s="12">
        <v>0.1</v>
      </c>
      <c r="M14" s="12">
        <v>0.307</v>
      </c>
    </row>
    <row r="15" spans="1:21" x14ac:dyDescent="0.25">
      <c r="D15" s="15" t="s">
        <v>27</v>
      </c>
      <c r="E15" s="15" t="s">
        <v>26</v>
      </c>
      <c r="F15">
        <v>0</v>
      </c>
      <c r="G15" s="1">
        <v>0</v>
      </c>
      <c r="H15" s="1">
        <f>G15-F15</f>
        <v>0</v>
      </c>
      <c r="I15" s="4">
        <f t="shared" si="3"/>
        <v>0</v>
      </c>
      <c r="J15" s="4">
        <f t="shared" ref="J15:J16" si="5">F15/$F$10</f>
        <v>0</v>
      </c>
      <c r="K15" s="4">
        <v>0</v>
      </c>
      <c r="L15" s="12">
        <v>3.2500000000000001E-2</v>
      </c>
      <c r="M15" s="12">
        <v>0</v>
      </c>
    </row>
    <row r="16" spans="1:21" x14ac:dyDescent="0.25">
      <c r="D16" s="15" t="s">
        <v>28</v>
      </c>
      <c r="E16" s="15" t="s">
        <v>26</v>
      </c>
      <c r="F16">
        <v>0</v>
      </c>
      <c r="G16" s="1">
        <v>0</v>
      </c>
      <c r="H16" s="1">
        <f>G16-F16</f>
        <v>0</v>
      </c>
      <c r="I16" s="4">
        <f t="shared" si="3"/>
        <v>0</v>
      </c>
      <c r="J16" s="4">
        <f t="shared" si="5"/>
        <v>0</v>
      </c>
      <c r="K16" s="4">
        <v>0</v>
      </c>
      <c r="L16" s="12">
        <v>0.06</v>
      </c>
      <c r="M16" s="12">
        <v>0.08</v>
      </c>
    </row>
    <row r="17" spans="4:13" x14ac:dyDescent="0.25">
      <c r="D17" s="15" t="s">
        <v>29</v>
      </c>
      <c r="E17" s="15" t="s">
        <v>30</v>
      </c>
      <c r="F17">
        <v>0</v>
      </c>
      <c r="G17" s="1">
        <v>0</v>
      </c>
      <c r="H17" s="1">
        <f>G17-F17</f>
        <v>0</v>
      </c>
      <c r="I17" s="4">
        <f t="shared" ref="I17" si="6">IFERROR(H17/F17,0)</f>
        <v>0</v>
      </c>
      <c r="J17">
        <v>0</v>
      </c>
      <c r="K17" s="4">
        <v>0</v>
      </c>
      <c r="L17" s="12">
        <v>0.13</v>
      </c>
      <c r="M17" s="12">
        <v>0.08</v>
      </c>
    </row>
  </sheetData>
  <mergeCells count="1">
    <mergeCell ref="F9:I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58F4-679D-4499-B67E-B00DA931E042}">
  <dimension ref="A1:F4"/>
  <sheetViews>
    <sheetView workbookViewId="0">
      <selection activeCell="F25" sqref="F25"/>
    </sheetView>
  </sheetViews>
  <sheetFormatPr defaultRowHeight="15" x14ac:dyDescent="0.25"/>
  <cols>
    <col min="1" max="1" width="6.140625" bestFit="1" customWidth="1"/>
    <col min="2" max="3" width="7" bestFit="1" customWidth="1"/>
    <col min="4" max="4" width="9" bestFit="1" customWidth="1"/>
  </cols>
  <sheetData>
    <row r="1" spans="1:6" x14ac:dyDescent="0.25">
      <c r="B1" s="17" t="s">
        <v>2</v>
      </c>
      <c r="C1" s="17" t="s">
        <v>3</v>
      </c>
      <c r="D1" s="17" t="s">
        <v>4</v>
      </c>
    </row>
    <row r="2" spans="1:6" x14ac:dyDescent="0.25">
      <c r="A2" s="17" t="s">
        <v>2</v>
      </c>
      <c r="B2">
        <v>1.44E-2</v>
      </c>
      <c r="C2">
        <v>1.44E-2</v>
      </c>
      <c r="D2">
        <v>0</v>
      </c>
      <c r="F2" s="7"/>
    </row>
    <row r="3" spans="1:6" x14ac:dyDescent="0.25">
      <c r="A3" s="17" t="s">
        <v>3</v>
      </c>
      <c r="B3">
        <v>1.44E-2</v>
      </c>
      <c r="C3">
        <v>1.44E-2</v>
      </c>
      <c r="D3">
        <v>0</v>
      </c>
    </row>
    <row r="4" spans="1:6" x14ac:dyDescent="0.25">
      <c r="A4" s="17" t="s">
        <v>4</v>
      </c>
      <c r="B4">
        <v>0</v>
      </c>
      <c r="C4">
        <v>0</v>
      </c>
      <c r="D4">
        <v>9.4248999999999999E-2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Portfolio</vt:lpstr>
      <vt:lpstr>Covariance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Rodriguez Walton</dc:creator>
  <cp:lastModifiedBy>Samuel Rodriguez Walton</cp:lastModifiedBy>
  <dcterms:created xsi:type="dcterms:W3CDTF">2025-09-04T14:48:00Z</dcterms:created>
  <dcterms:modified xsi:type="dcterms:W3CDTF">2025-09-08T05:21:27Z</dcterms:modified>
</cp:coreProperties>
</file>