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RodWal-Capital-Insights/"/>
    </mc:Choice>
  </mc:AlternateContent>
  <xr:revisionPtr revIDLastSave="83" documentId="8_{D60A6F84-4477-4005-8E6E-F694806FED89}" xr6:coauthVersionLast="47" xr6:coauthVersionMax="47" xr10:uidLastSave="{54E568E1-FB87-43A1-AA42-9EC4F282EBA2}"/>
  <bookViews>
    <workbookView xWindow="-120" yWindow="-120" windowWidth="29040" windowHeight="15720" xr2:uid="{516D1755-2830-47A9-B007-CE0656FA4FE6}"/>
  </bookViews>
  <sheets>
    <sheet name="Portfolio" sheetId="1" r:id="rId1"/>
    <sheet name="Covariance" sheetId="2" r:id="rId2"/>
  </sheets>
  <definedNames>
    <definedName name="solver_adj" localSheetId="0" hidden="1">Portfolio!$M$12:$M$14</definedName>
    <definedName name="solver_cvg" localSheetId="0" hidden="1">0.0001</definedName>
    <definedName name="solver_drv" localSheetId="0" hidden="1">2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Portfolio!$M$10</definedName>
    <definedName name="solver_lhs2" localSheetId="0" hidden="1">Portfolio!$M$12:$M$14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Portfolio!$C$4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3</definedName>
    <definedName name="solver_rhs1" localSheetId="0" hidden="1">1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H13" i="1"/>
  <c r="J17" i="1"/>
  <c r="K17" i="1" s="1"/>
  <c r="J16" i="1"/>
  <c r="K16" i="1" s="1"/>
  <c r="J15" i="1"/>
  <c r="K15" i="1" s="1"/>
  <c r="M13" i="1"/>
  <c r="M10" i="1" s="1"/>
  <c r="C5" i="1" l="1" a="1"/>
  <c r="C5" i="1" s="1"/>
  <c r="J14" i="1"/>
  <c r="K14" i="1" s="1"/>
  <c r="K12" i="1" l="1"/>
  <c r="H10" i="1"/>
  <c r="J13" i="1"/>
  <c r="K13" i="1" s="1"/>
  <c r="J10" i="1"/>
  <c r="I10" i="1"/>
  <c r="H8" i="1" l="1"/>
  <c r="L17" i="1"/>
  <c r="L16" i="1"/>
  <c r="L15" i="1"/>
  <c r="K10" i="1"/>
  <c r="L14" i="1"/>
  <c r="L12" i="1"/>
  <c r="L13" i="1"/>
  <c r="C2" i="1" a="1"/>
  <c r="C2" i="1" s="1"/>
  <c r="C6" i="1"/>
  <c r="L10" i="1" l="1"/>
  <c r="B5" i="1" a="1"/>
  <c r="B5" i="1" s="1"/>
  <c r="B6" i="1" s="1"/>
  <c r="B2" i="1" a="1"/>
  <c r="B2" i="1" s="1"/>
  <c r="C7" i="1"/>
  <c r="C4" i="1"/>
  <c r="B7" i="1" l="1"/>
  <c r="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<sst xmlns="http://schemas.openxmlformats.org/spreadsheetml/2006/main" count="42" uniqueCount="33">
  <si>
    <t>Type</t>
  </si>
  <si>
    <t>Platform</t>
  </si>
  <si>
    <t>BBVA</t>
  </si>
  <si>
    <t>CETES</t>
  </si>
  <si>
    <t>XTB</t>
  </si>
  <si>
    <t>Initial $</t>
  </si>
  <si>
    <t>Returns $</t>
  </si>
  <si>
    <t>Returns %</t>
  </si>
  <si>
    <t>Latest Value</t>
  </si>
  <si>
    <t>USD Equiv</t>
  </si>
  <si>
    <t>Expected %</t>
  </si>
  <si>
    <t>Volatility</t>
  </si>
  <si>
    <t>Stocks &amp; ETFs</t>
  </si>
  <si>
    <t>Sbtotal</t>
  </si>
  <si>
    <t>Risk Free</t>
  </si>
  <si>
    <t>Shape Ratio</t>
  </si>
  <si>
    <t>Variance</t>
  </si>
  <si>
    <t>STD</t>
  </si>
  <si>
    <t>Protf. Return</t>
  </si>
  <si>
    <t>Parameter</t>
  </si>
  <si>
    <t>Weights</t>
  </si>
  <si>
    <t>Optimal Weights</t>
  </si>
  <si>
    <t>Optimal</t>
  </si>
  <si>
    <t>Actual</t>
  </si>
  <si>
    <t>Return/STD</t>
  </si>
  <si>
    <t>MXN Government Bonds</t>
  </si>
  <si>
    <t>BAC</t>
  </si>
  <si>
    <t>HNL USD Bonds</t>
  </si>
  <si>
    <t>HNL HNL Bonds</t>
  </si>
  <si>
    <t>HNL BONDS</t>
  </si>
  <si>
    <t>BNH</t>
  </si>
  <si>
    <t>LOC CUR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</si>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</sst>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1E40"/>
        <bgColor indexed="64"/>
      </patternFill>
    </fill>
    <fill>
      <patternFill patternType="solid">
        <fgColor rgb="FF2C6E4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4" fontId="3" fillId="0" borderId="0" xfId="0" applyNumberFormat="1" applyFont="1"/>
    <xf numFmtId="9" fontId="3" fillId="0" borderId="0" xfId="1" applyFont="1" applyAlignment="1">
      <alignment horizontal="center" vertical="center"/>
    </xf>
    <xf numFmtId="0" fontId="3" fillId="0" borderId="0" xfId="0" applyFont="1"/>
    <xf numFmtId="16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66" fontId="0" fillId="0" borderId="0" xfId="1" applyNumberFormat="1" applyFont="1"/>
    <xf numFmtId="2" fontId="0" fillId="0" borderId="0" xfId="1" applyNumberFormat="1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10" fontId="1" fillId="0" borderId="0" xfId="1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93E0-F994-4E59-B30E-6A296F0318C6}">
  <dimension ref="A1:W17"/>
  <sheetViews>
    <sheetView tabSelected="1" workbookViewId="0">
      <selection activeCell="N22" sqref="N22"/>
    </sheetView>
  </sheetViews>
  <sheetFormatPr defaultRowHeight="15" x14ac:dyDescent="0.25"/>
  <cols>
    <col min="1" max="1" width="12.5703125" bestFit="1" customWidth="1"/>
    <col min="2" max="2" width="7.140625" bestFit="1" customWidth="1"/>
    <col min="3" max="3" width="8.140625" bestFit="1" customWidth="1"/>
    <col min="4" max="4" width="23.28515625" bestFit="1" customWidth="1"/>
    <col min="5" max="5" width="8.7109375" bestFit="1" customWidth="1"/>
    <col min="6" max="6" width="9.28515625" bestFit="1" customWidth="1"/>
    <col min="7" max="7" width="8.7109375" customWidth="1"/>
    <col min="8" max="8" width="8.140625" customWidth="1"/>
    <col min="9" max="9" width="12" customWidth="1"/>
    <col min="10" max="10" width="9.5703125" customWidth="1"/>
    <col min="11" max="15" width="10.140625" customWidth="1"/>
    <col min="16" max="16" width="9.42578125" bestFit="1" customWidth="1"/>
    <col min="20" max="20" width="18.28515625" bestFit="1" customWidth="1"/>
  </cols>
  <sheetData>
    <row r="1" spans="1:23" x14ac:dyDescent="0.25">
      <c r="A1" s="14" t="s">
        <v>19</v>
      </c>
      <c r="B1" s="14" t="s">
        <v>23</v>
      </c>
      <c r="C1" s="14" t="s">
        <v>22</v>
      </c>
    </row>
    <row r="2" spans="1:23" x14ac:dyDescent="0.25">
      <c r="A2" s="5" t="s">
        <v>18</v>
      </c>
      <c r="B2" s="19" cm="1">
        <f t="array" ref="B2">MMULT(TRANSPOSE(L12:L14),N12:N14)</f>
        <v>9.5167749103224758E-2</v>
      </c>
      <c r="C2" s="19" cm="1">
        <f t="array" ref="C2">MMULT(TRANSPOSE(M12:M14),N12:N14)</f>
        <v>0.08</v>
      </c>
    </row>
    <row r="3" spans="1:23" x14ac:dyDescent="0.25">
      <c r="A3" s="5" t="s">
        <v>14</v>
      </c>
      <c r="B3" s="19">
        <v>4.2500000000000003E-2</v>
      </c>
      <c r="C3" s="19">
        <v>4.2500000000000003E-2</v>
      </c>
    </row>
    <row r="4" spans="1:23" x14ac:dyDescent="0.25">
      <c r="A4" s="5" t="s">
        <v>15</v>
      </c>
      <c r="B4" s="8">
        <f>(B2-B3)/B6</f>
        <v>0.2117349627819938</v>
      </c>
      <c r="C4" s="8">
        <f>(C2-C3)/C6</f>
        <v>0.32907450547808315</v>
      </c>
    </row>
    <row r="5" spans="1:23" x14ac:dyDescent="0.25">
      <c r="A5" s="5" t="s">
        <v>16</v>
      </c>
      <c r="B5" s="19" cm="1">
        <f t="array" ref="B5">MMULT(TRANSPOSE(L12:L14),MMULT(Covariance!B2:D4,Portfolio!L12:L14))</f>
        <v>6.1873454232464722E-2</v>
      </c>
      <c r="C5" s="19" cm="1">
        <f t="array" ref="C5">MMULT(TRANSPOSE(M12:M14),MMULT(Covariance!B2:D4,Portfolio!M12:M14))</f>
        <v>1.2985960000000001E-2</v>
      </c>
    </row>
    <row r="6" spans="1:23" x14ac:dyDescent="0.25">
      <c r="A6" s="5" t="s">
        <v>17</v>
      </c>
      <c r="B6" s="19">
        <f>SQRT(B5)</f>
        <v>0.24874375214759611</v>
      </c>
      <c r="C6" s="19">
        <f>SQRT(C5)</f>
        <v>0.11395595640421786</v>
      </c>
    </row>
    <row r="7" spans="1:23" x14ac:dyDescent="0.25">
      <c r="A7" s="5" t="s">
        <v>24</v>
      </c>
      <c r="B7" s="8">
        <f>B2/B6</f>
        <v>0.38259352559237525</v>
      </c>
      <c r="C7" s="8">
        <f>C2/C6</f>
        <v>0.70202561168657751</v>
      </c>
      <c r="E7" s="12"/>
      <c r="F7" s="12"/>
      <c r="G7" s="12"/>
    </row>
    <row r="8" spans="1:23" x14ac:dyDescent="0.25">
      <c r="E8" s="12"/>
      <c r="F8" s="12"/>
      <c r="G8" s="12"/>
      <c r="H8">
        <f>26.27*H10</f>
        <v>73758.293123655909</v>
      </c>
    </row>
    <row r="9" spans="1:23" x14ac:dyDescent="0.25">
      <c r="H9" s="21" t="s">
        <v>9</v>
      </c>
      <c r="I9" s="21"/>
      <c r="J9" s="21"/>
      <c r="K9" s="21"/>
      <c r="L9" s="13"/>
      <c r="M9" s="13"/>
      <c r="N9" s="2"/>
      <c r="O9" s="2"/>
    </row>
    <row r="10" spans="1:23" x14ac:dyDescent="0.25">
      <c r="D10" s="5" t="s">
        <v>9</v>
      </c>
      <c r="E10" s="16" t="s">
        <v>13</v>
      </c>
      <c r="F10" s="16"/>
      <c r="G10" s="16"/>
      <c r="H10" s="3">
        <f>SUBTOTAL(9,H12:H17)</f>
        <v>2807.7005376344086</v>
      </c>
      <c r="I10" s="3">
        <f t="shared" ref="I10:J10" si="0">SUBTOTAL(9,I12:I17)</f>
        <v>3238.7005376344086</v>
      </c>
      <c r="J10" s="3">
        <f t="shared" si="0"/>
        <v>431</v>
      </c>
      <c r="K10" s="4">
        <f t="shared" ref="K10" si="1">J10/H10</f>
        <v>0.15350639935522947</v>
      </c>
      <c r="L10" s="4">
        <f>SUM(L12:L14)</f>
        <v>1</v>
      </c>
      <c r="M10" s="4">
        <f>SUM(M12:M14)</f>
        <v>1</v>
      </c>
      <c r="N10" s="12"/>
      <c r="O10" s="12"/>
    </row>
    <row r="11" spans="1:23" ht="30" customHeight="1" x14ac:dyDescent="0.25">
      <c r="D11" s="18" t="s">
        <v>0</v>
      </c>
      <c r="E11" s="18" t="s">
        <v>1</v>
      </c>
      <c r="F11" s="18" t="s">
        <v>31</v>
      </c>
      <c r="G11" s="18" t="s">
        <v>32</v>
      </c>
      <c r="H11" s="18" t="s">
        <v>5</v>
      </c>
      <c r="I11" s="18" t="s">
        <v>8</v>
      </c>
      <c r="J11" s="18" t="s">
        <v>6</v>
      </c>
      <c r="K11" s="18" t="s">
        <v>7</v>
      </c>
      <c r="L11" s="20" t="s">
        <v>20</v>
      </c>
      <c r="M11" s="20" t="s">
        <v>21</v>
      </c>
      <c r="N11" s="20" t="s">
        <v>10</v>
      </c>
      <c r="O11" s="20" t="s">
        <v>11</v>
      </c>
    </row>
    <row r="12" spans="1:23" x14ac:dyDescent="0.25">
      <c r="D12" s="15" t="s">
        <v>25</v>
      </c>
      <c r="E12" s="15" t="s">
        <v>2</v>
      </c>
      <c r="F12" s="1"/>
      <c r="G12" s="1"/>
      <c r="H12" s="1">
        <v>0</v>
      </c>
      <c r="I12" s="1">
        <v>0</v>
      </c>
      <c r="J12" s="1">
        <f t="shared" ref="J12" si="2">I12-H12</f>
        <v>0</v>
      </c>
      <c r="K12" s="4">
        <f>IFERROR(J12/H12,0)</f>
        <v>0</v>
      </c>
      <c r="L12" s="4">
        <f>H12/$H$10</f>
        <v>0</v>
      </c>
      <c r="M12" s="4">
        <v>0</v>
      </c>
      <c r="N12" s="12">
        <v>6.5000000000000002E-2</v>
      </c>
      <c r="O12" s="12">
        <v>0.08</v>
      </c>
      <c r="R12" s="6"/>
      <c r="T12" s="11"/>
      <c r="U12" s="10"/>
      <c r="W12" s="9"/>
    </row>
    <row r="13" spans="1:23" x14ac:dyDescent="0.25">
      <c r="D13" s="15" t="s">
        <v>25</v>
      </c>
      <c r="E13" s="15" t="s">
        <v>3</v>
      </c>
      <c r="F13" s="1">
        <v>10094.23</v>
      </c>
      <c r="G13" s="1">
        <v>18.600000000000001</v>
      </c>
      <c r="H13" s="1">
        <f>F13/G13</f>
        <v>542.70053763440853</v>
      </c>
      <c r="I13" s="1">
        <v>542.70053763440853</v>
      </c>
      <c r="J13" s="1">
        <f t="shared" ref="J13" si="3">I13-H13</f>
        <v>0</v>
      </c>
      <c r="K13" s="4">
        <f t="shared" ref="K13:K16" si="4">IFERROR(J13/H13,0)</f>
        <v>0</v>
      </c>
      <c r="L13" s="4">
        <f t="shared" ref="L13:L14" si="5">H13/$H$10</f>
        <v>0.19329003587100987</v>
      </c>
      <c r="M13" s="4">
        <f>1-M14</f>
        <v>0.8</v>
      </c>
      <c r="N13" s="12">
        <v>7.4999999999999997E-2</v>
      </c>
      <c r="O13" s="12">
        <v>0.08</v>
      </c>
      <c r="R13" s="6"/>
      <c r="T13" s="11"/>
      <c r="U13" s="10"/>
      <c r="W13" s="9"/>
    </row>
    <row r="14" spans="1:23" x14ac:dyDescent="0.25">
      <c r="D14" s="15" t="s">
        <v>12</v>
      </c>
      <c r="E14" s="15" t="s">
        <v>4</v>
      </c>
      <c r="F14" s="1"/>
      <c r="G14" s="1"/>
      <c r="H14" s="1">
        <v>2265</v>
      </c>
      <c r="I14" s="1">
        <v>2696</v>
      </c>
      <c r="J14" s="1">
        <f>I14-H14</f>
        <v>431</v>
      </c>
      <c r="K14" s="4">
        <f t="shared" si="4"/>
        <v>0.1902869757174393</v>
      </c>
      <c r="L14" s="4">
        <f t="shared" si="5"/>
        <v>0.8067099641289901</v>
      </c>
      <c r="M14" s="4">
        <v>0.2</v>
      </c>
      <c r="N14" s="12">
        <v>0.1</v>
      </c>
      <c r="O14" s="12">
        <v>0.307</v>
      </c>
    </row>
    <row r="15" spans="1:23" x14ac:dyDescent="0.25">
      <c r="D15" s="15" t="s">
        <v>27</v>
      </c>
      <c r="E15" s="15" t="s">
        <v>26</v>
      </c>
      <c r="H15">
        <v>0</v>
      </c>
      <c r="I15" s="1">
        <v>0</v>
      </c>
      <c r="J15" s="1">
        <f>I15-H15</f>
        <v>0</v>
      </c>
      <c r="K15" s="4">
        <f t="shared" si="4"/>
        <v>0</v>
      </c>
      <c r="L15" s="4">
        <f t="shared" ref="L15:L17" si="6">H15/$H$10</f>
        <v>0</v>
      </c>
      <c r="M15" s="4">
        <v>0</v>
      </c>
      <c r="N15" s="12">
        <v>3.2500000000000001E-2</v>
      </c>
      <c r="O15" s="12">
        <v>0</v>
      </c>
    </row>
    <row r="16" spans="1:23" x14ac:dyDescent="0.25">
      <c r="D16" s="15" t="s">
        <v>28</v>
      </c>
      <c r="E16" s="15" t="s">
        <v>26</v>
      </c>
      <c r="H16">
        <v>0</v>
      </c>
      <c r="I16" s="1">
        <v>0</v>
      </c>
      <c r="J16" s="1">
        <f>I16-H16</f>
        <v>0</v>
      </c>
      <c r="K16" s="4">
        <f t="shared" si="4"/>
        <v>0</v>
      </c>
      <c r="L16" s="4">
        <f t="shared" si="6"/>
        <v>0</v>
      </c>
      <c r="M16" s="4">
        <v>0</v>
      </c>
      <c r="N16" s="12">
        <v>0.06</v>
      </c>
      <c r="O16" s="12">
        <v>0.08</v>
      </c>
    </row>
    <row r="17" spans="4:15" x14ac:dyDescent="0.25">
      <c r="D17" s="15" t="s">
        <v>29</v>
      </c>
      <c r="E17" s="15" t="s">
        <v>30</v>
      </c>
      <c r="H17">
        <v>0</v>
      </c>
      <c r="I17" s="1">
        <v>0</v>
      </c>
      <c r="J17" s="1">
        <f>I17-H17</f>
        <v>0</v>
      </c>
      <c r="K17" s="4">
        <f t="shared" ref="K17" si="7">IFERROR(J17/H17,0)</f>
        <v>0</v>
      </c>
      <c r="L17" s="4">
        <f t="shared" si="6"/>
        <v>0</v>
      </c>
      <c r="M17" s="4">
        <v>0</v>
      </c>
      <c r="N17" s="12">
        <v>0.13</v>
      </c>
      <c r="O17" s="12">
        <v>0.08</v>
      </c>
    </row>
  </sheetData>
  <mergeCells count="1">
    <mergeCell ref="H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58F4-679D-4499-B67E-B00DA931E042}">
  <dimension ref="A1:F4"/>
  <sheetViews>
    <sheetView workbookViewId="0">
      <selection activeCell="F25" sqref="F25"/>
    </sheetView>
  </sheetViews>
  <sheetFormatPr defaultRowHeight="15" x14ac:dyDescent="0.25"/>
  <cols>
    <col min="1" max="1" width="6.140625" bestFit="1" customWidth="1"/>
    <col min="2" max="3" width="7" bestFit="1" customWidth="1"/>
    <col min="4" max="4" width="9" bestFit="1" customWidth="1"/>
  </cols>
  <sheetData>
    <row r="1" spans="1:6" x14ac:dyDescent="0.25">
      <c r="B1" s="17" t="s">
        <v>2</v>
      </c>
      <c r="C1" s="17" t="s">
        <v>3</v>
      </c>
      <c r="D1" s="17" t="s">
        <v>4</v>
      </c>
    </row>
    <row r="2" spans="1:6" x14ac:dyDescent="0.25">
      <c r="A2" s="17" t="s">
        <v>2</v>
      </c>
      <c r="B2">
        <v>1.44E-2</v>
      </c>
      <c r="C2">
        <v>1.44E-2</v>
      </c>
      <c r="D2">
        <v>0</v>
      </c>
      <c r="F2" s="7"/>
    </row>
    <row r="3" spans="1:6" x14ac:dyDescent="0.25">
      <c r="A3" s="17" t="s">
        <v>3</v>
      </c>
      <c r="B3">
        <v>1.44E-2</v>
      </c>
      <c r="C3">
        <v>1.44E-2</v>
      </c>
      <c r="D3">
        <v>0</v>
      </c>
    </row>
    <row r="4" spans="1:6" x14ac:dyDescent="0.25">
      <c r="A4" s="17" t="s">
        <v>4</v>
      </c>
      <c r="B4">
        <v>0</v>
      </c>
      <c r="C4">
        <v>0</v>
      </c>
      <c r="D4">
        <v>9.4248999999999999E-2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</vt:lpstr>
      <vt:lpstr>Covariance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Rodriguez Walton</dc:creator>
  <cp:lastModifiedBy>Samuel Rodriguez Walton</cp:lastModifiedBy>
  <dcterms:created xsi:type="dcterms:W3CDTF">2025-09-04T14:48:00Z</dcterms:created>
  <dcterms:modified xsi:type="dcterms:W3CDTF">2025-11-05T21:08:34Z</dcterms:modified>
</cp:coreProperties>
</file>