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"/>
    </mc:Choice>
  </mc:AlternateContent>
  <xr:revisionPtr revIDLastSave="0" documentId="8_{3E68B7F2-B2D0-4A7E-A655-34290A7BB178}" xr6:coauthVersionLast="47" xr6:coauthVersionMax="47" xr10:uidLastSave="{00000000-0000-0000-0000-000000000000}"/>
  <bookViews>
    <workbookView xWindow="-120" yWindow="-120" windowWidth="29040" windowHeight="15720" xr2:uid="{1894F4AE-236C-4E8A-99E5-EB4DCC2FABC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2" l="1"/>
  <c r="S21" i="2"/>
  <c r="Q21" i="2"/>
  <c r="P29" i="2" a="1"/>
  <c r="P29" i="2" s="1"/>
  <c r="I17" i="1"/>
  <c r="J17" i="1"/>
  <c r="I18" i="1"/>
  <c r="J18" i="1"/>
  <c r="I19" i="1"/>
  <c r="J19" i="1"/>
  <c r="I20" i="1"/>
  <c r="J20" i="1" s="1"/>
  <c r="I21" i="1"/>
  <c r="J21" i="1"/>
  <c r="J16" i="1"/>
  <c r="I16" i="1"/>
  <c r="I10" i="1"/>
  <c r="J10" i="1" s="1"/>
  <c r="I11" i="1"/>
  <c r="J11" i="1" s="1"/>
  <c r="I9" i="1"/>
  <c r="J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<sst xmlns="http://schemas.openxmlformats.org/spreadsheetml/2006/main" count="189" uniqueCount="89">
  <si>
    <t>Year</t>
  </si>
  <si>
    <t>Quarter</t>
  </si>
  <si>
    <t>Month</t>
  </si>
  <si>
    <t>Deposits Build-Up</t>
  </si>
  <si>
    <t>Unrealized Gains</t>
  </si>
  <si>
    <t>Realized Gains</t>
  </si>
  <si>
    <t>Dividend</t>
  </si>
  <si>
    <t>Cost &amp; Taxes</t>
  </si>
  <si>
    <t>P&amp;L</t>
  </si>
  <si>
    <t>Qtr 3</t>
  </si>
  <si>
    <t>July</t>
  </si>
  <si>
    <t>August</t>
  </si>
  <si>
    <t>September</t>
  </si>
  <si>
    <t>Qtr 1</t>
  </si>
  <si>
    <t>Qtr 2</t>
  </si>
  <si>
    <t>Qtr 4</t>
  </si>
  <si>
    <t>(Blank)</t>
  </si>
  <si>
    <t>Sector</t>
  </si>
  <si>
    <t>Ticker</t>
  </si>
  <si>
    <t>Entry Value</t>
  </si>
  <si>
    <t>Entry %</t>
  </si>
  <si>
    <t>Volume</t>
  </si>
  <si>
    <t>Market Value</t>
  </si>
  <si>
    <t>Gains %</t>
  </si>
  <si>
    <t>Change In Period</t>
  </si>
  <si>
    <t>Change in Period %</t>
  </si>
  <si>
    <t>Energy &amp; Utilities</t>
  </si>
  <si>
    <t>YPF</t>
  </si>
  <si>
    <t>APA</t>
  </si>
  <si>
    <t>FSLR</t>
  </si>
  <si>
    <t>EXC</t>
  </si>
  <si>
    <t>NEE</t>
  </si>
  <si>
    <t>Operation</t>
  </si>
  <si>
    <t>Uilities</t>
  </si>
  <si>
    <t>Production</t>
  </si>
  <si>
    <t>Energy Type</t>
  </si>
  <si>
    <t>Electric (Nuclear &amp; Renewable mix)</t>
  </si>
  <si>
    <t>Electric (Renewable &amp; Natural Gas)</t>
  </si>
  <si>
    <t>Solar (Renewable)</t>
  </si>
  <si>
    <t>Oil &amp; Gas</t>
  </si>
  <si>
    <t>MTD</t>
  </si>
  <si>
    <t>Total</t>
  </si>
  <si>
    <t>YTD</t>
  </si>
  <si>
    <t>WTD</t>
  </si>
  <si>
    <t>Portfolio</t>
  </si>
  <si>
    <r>
      <t>Instrument</t>
    </r>
    <r>
      <rPr>
        <b/>
        <sz val="11"/>
        <color theme="1"/>
        <rFont val="Aptos Narrow"/>
        <family val="2"/>
        <scheme val="minor"/>
      </rPr>
      <t>YTDMTDWTDWTI Crude (CL=F)−12.59%−2.06%+1.33%Nat Gas (NG=F)−19.05%−1.87%−3.51%Total (equal‑weight)−15.82%−1.97%−1.09%</t>
    </r>
  </si>
  <si>
    <t>WTI Crude (CL=F)−12.59%−2.06%+1.33%</t>
  </si>
  <si>
    <t>Oil (CL=F)</t>
  </si>
  <si>
    <t>Nat Gas (NG=F)</t>
  </si>
  <si>
    <t>Weighted</t>
  </si>
  <si>
    <t>Oil %</t>
  </si>
  <si>
    <t>Gas %</t>
  </si>
  <si>
    <t>Ticker's Share</t>
  </si>
  <si>
    <t>Country</t>
  </si>
  <si>
    <t>Company</t>
  </si>
  <si>
    <t>Product Focus</t>
  </si>
  <si>
    <t>Notable Projects / Facilities</t>
  </si>
  <si>
    <t>Turnover 2024 $B</t>
  </si>
  <si>
    <t>Australia</t>
  </si>
  <si>
    <t>Woodside Energy</t>
  </si>
  <si>
    <t>LNG</t>
  </si>
  <si>
    <t>North West Shelf, Pluto LNG</t>
  </si>
  <si>
    <t>ASX:WDS</t>
  </si>
  <si>
    <t>Santos Ltd</t>
  </si>
  <si>
    <t>GLNG, Darwin LNG</t>
  </si>
  <si>
    <t>ASX:STO</t>
  </si>
  <si>
    <t>Chevron Australia</t>
  </si>
  <si>
    <t>Gorgon, Wheatstone</t>
  </si>
  <si>
    <t>NYSE:CVX</t>
  </si>
  <si>
    <t>Qatar</t>
  </si>
  <si>
    <t>QatarEnergy</t>
  </si>
  <si>
    <t>Ras Laffan Industrial City, North Field Expansion</t>
  </si>
  <si>
    <t>State-owned</t>
  </si>
  <si>
    <t>Qatargas</t>
  </si>
  <si>
    <t>Multiple LNG trains under QatarEnergy</t>
  </si>
  <si>
    <t>Subsidiary of QatarEnergy</t>
  </si>
  <si>
    <t>United States</t>
  </si>
  <si>
    <t>Cheniere Energy</t>
  </si>
  <si>
    <t>Sabine Pass, Corpus Christi</t>
  </si>
  <si>
    <t>NYSE:LNG</t>
  </si>
  <si>
    <t>ExxonMobil</t>
  </si>
  <si>
    <t>LNG, LPG</t>
  </si>
  <si>
    <t>Golden Pass LNG, upstream gas fields</t>
  </si>
  <si>
    <t>NYSE:XOM</t>
  </si>
  <si>
    <t>Chevron</t>
  </si>
  <si>
    <t>Gulf Coast LNG, Permian Basin</t>
  </si>
  <si>
    <t>Tellurian Inc.</t>
  </si>
  <si>
    <t>Driftwood LNG project</t>
  </si>
  <si>
    <t>Aquired by Woodside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</si>
</sst>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1" formatCode="_(&quot;$&quot;* #,##0.0_);_(&quot;$&quot;* \(#,##0.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8" fontId="0" fillId="0" borderId="0" xfId="0" applyNumberFormat="1"/>
    <xf numFmtId="10" fontId="0" fillId="0" borderId="0" xfId="2" applyNumberFormat="1" applyFont="1"/>
    <xf numFmtId="10" fontId="0" fillId="0" borderId="0" xfId="2" applyNumberFormat="1" applyFont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textRotation="45" wrapText="1"/>
    </xf>
    <xf numFmtId="0" fontId="4" fillId="0" borderId="0" xfId="0" applyFont="1" applyAlignment="1">
      <alignment horizontal="left" vertical="center"/>
    </xf>
    <xf numFmtId="171" fontId="4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E0B6-6CDA-4673-A50F-02E013CA499D}">
  <dimension ref="A1:J21"/>
  <sheetViews>
    <sheetView tabSelected="1" workbookViewId="0">
      <selection activeCell="P16" sqref="P16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10.28515625" bestFit="1" customWidth="1"/>
    <col min="4" max="4" width="17" bestFit="1" customWidth="1"/>
    <col min="5" max="5" width="16.140625" bestFit="1" customWidth="1"/>
    <col min="6" max="6" width="14.140625" bestFit="1" customWidth="1"/>
    <col min="7" max="7" width="8.7109375" bestFit="1" customWidth="1"/>
    <col min="8" max="8" width="12" bestFit="1" customWidth="1"/>
    <col min="9" max="9" width="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2025</v>
      </c>
      <c r="B2" t="s">
        <v>9</v>
      </c>
      <c r="C2" t="s">
        <v>10</v>
      </c>
      <c r="D2" s="1">
        <v>1765</v>
      </c>
      <c r="E2" s="1">
        <v>24.28</v>
      </c>
      <c r="F2" s="1">
        <v>16.25</v>
      </c>
      <c r="G2" s="1">
        <v>3.87</v>
      </c>
      <c r="H2" s="1">
        <v>-1.1200000000000001</v>
      </c>
      <c r="I2" s="1">
        <v>43.28</v>
      </c>
    </row>
    <row r="3" spans="1:10" x14ac:dyDescent="0.25">
      <c r="A3">
        <v>2025</v>
      </c>
      <c r="B3" t="s">
        <v>9</v>
      </c>
      <c r="C3" t="s">
        <v>11</v>
      </c>
      <c r="D3" s="1">
        <v>1765</v>
      </c>
      <c r="E3" s="1">
        <v>79.67</v>
      </c>
      <c r="F3" s="1">
        <v>57.48</v>
      </c>
      <c r="G3" s="1">
        <v>5.49</v>
      </c>
      <c r="H3" s="1">
        <v>-1.67</v>
      </c>
      <c r="I3" s="1">
        <v>140.97</v>
      </c>
    </row>
    <row r="4" spans="1:10" x14ac:dyDescent="0.25">
      <c r="A4">
        <v>2025</v>
      </c>
      <c r="B4" t="s">
        <v>9</v>
      </c>
      <c r="C4" t="s">
        <v>12</v>
      </c>
      <c r="D4" s="1">
        <v>1865</v>
      </c>
      <c r="E4" s="1">
        <v>166.54</v>
      </c>
      <c r="F4" s="1">
        <v>136.65</v>
      </c>
      <c r="G4" s="1">
        <v>28.75</v>
      </c>
      <c r="H4" s="1">
        <v>-8.1</v>
      </c>
      <c r="I4" s="1">
        <v>26.53</v>
      </c>
    </row>
    <row r="8" spans="1:10" x14ac:dyDescent="0.25">
      <c r="A8" t="s">
        <v>0</v>
      </c>
      <c r="B8" t="s">
        <v>1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</row>
    <row r="9" spans="1:10" x14ac:dyDescent="0.25">
      <c r="A9">
        <v>2025</v>
      </c>
      <c r="B9" t="s">
        <v>13</v>
      </c>
      <c r="C9" s="1">
        <v>1365</v>
      </c>
      <c r="D9" s="1">
        <v>6.32</v>
      </c>
      <c r="E9" s="1">
        <v>20.34</v>
      </c>
      <c r="F9" s="1">
        <v>5.27</v>
      </c>
      <c r="G9" s="1">
        <v>-1.55</v>
      </c>
      <c r="H9" s="1">
        <v>30.38</v>
      </c>
      <c r="I9" s="2">
        <f>F9/C9</f>
        <v>3.8608058608058603E-3</v>
      </c>
      <c r="J9">
        <f>(1+I9)^4</f>
        <v>1.0155328887907138</v>
      </c>
    </row>
    <row r="10" spans="1:10" x14ac:dyDescent="0.25">
      <c r="A10">
        <v>2025</v>
      </c>
      <c r="B10" t="s">
        <v>14</v>
      </c>
      <c r="C10" s="1">
        <v>1765</v>
      </c>
      <c r="D10" s="1">
        <v>53.67</v>
      </c>
      <c r="E10" s="1">
        <v>53.99</v>
      </c>
      <c r="F10" s="1">
        <v>11.37</v>
      </c>
      <c r="G10" s="1">
        <v>-3.03</v>
      </c>
      <c r="H10" s="1">
        <v>116</v>
      </c>
      <c r="I10" s="2">
        <f t="shared" ref="I10:I11" si="0">F10/C10</f>
        <v>6.4419263456090645E-3</v>
      </c>
      <c r="J10">
        <f t="shared" ref="J10:J11" si="1">(1+I10)^4</f>
        <v>1.0260177669137409</v>
      </c>
    </row>
    <row r="11" spans="1:10" x14ac:dyDescent="0.25">
      <c r="A11">
        <v>2025</v>
      </c>
      <c r="B11" t="s">
        <v>9</v>
      </c>
      <c r="C11" s="1">
        <v>1865</v>
      </c>
      <c r="D11" s="1">
        <v>120.23</v>
      </c>
      <c r="E11" s="1">
        <v>82.65</v>
      </c>
      <c r="F11" s="1">
        <v>10.050000000000001</v>
      </c>
      <c r="G11" s="1">
        <v>-3</v>
      </c>
      <c r="H11" s="1">
        <v>209.93</v>
      </c>
      <c r="I11" s="2">
        <f t="shared" si="0"/>
        <v>5.3887399463806978E-3</v>
      </c>
      <c r="J11">
        <f t="shared" si="1"/>
        <v>1.0217298176621095</v>
      </c>
    </row>
    <row r="12" spans="1:10" x14ac:dyDescent="0.25">
      <c r="A12">
        <v>2025</v>
      </c>
      <c r="B12" t="s">
        <v>15</v>
      </c>
      <c r="C12" s="1">
        <v>1865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</row>
    <row r="15" spans="1:10" x14ac:dyDescent="0.25">
      <c r="A15" t="s">
        <v>0</v>
      </c>
      <c r="B15" t="s">
        <v>1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</row>
    <row r="16" spans="1:10" x14ac:dyDescent="0.25">
      <c r="A16">
        <v>2025</v>
      </c>
      <c r="B16" t="s">
        <v>13</v>
      </c>
      <c r="C16" s="1">
        <v>1365</v>
      </c>
      <c r="D16" s="1">
        <v>6.32</v>
      </c>
      <c r="E16" s="1">
        <v>20.34</v>
      </c>
      <c r="F16" s="1">
        <v>5.27</v>
      </c>
      <c r="G16" s="1">
        <v>-1.55</v>
      </c>
      <c r="H16" s="1">
        <v>30.38</v>
      </c>
      <c r="I16" s="2">
        <f>F16/C16</f>
        <v>3.8608058608058603E-3</v>
      </c>
      <c r="J16" s="3">
        <f>(1+I16)^4</f>
        <v>1.0155328887907138</v>
      </c>
    </row>
    <row r="17" spans="1:10" x14ac:dyDescent="0.25">
      <c r="A17">
        <v>2025</v>
      </c>
      <c r="B17" t="s">
        <v>14</v>
      </c>
      <c r="C17" s="1">
        <v>1765</v>
      </c>
      <c r="D17" s="1">
        <v>53.67</v>
      </c>
      <c r="E17" s="1">
        <v>53.99</v>
      </c>
      <c r="F17" s="1">
        <v>11.37</v>
      </c>
      <c r="G17" s="1">
        <v>-3.03</v>
      </c>
      <c r="H17" s="1">
        <v>116</v>
      </c>
      <c r="I17" s="2">
        <f t="shared" ref="I17:I21" si="2">F17/C17</f>
        <v>6.4419263456090645E-3</v>
      </c>
      <c r="J17" s="3">
        <f t="shared" ref="J17:J21" si="3">(1+I17)^4</f>
        <v>1.0260177669137409</v>
      </c>
    </row>
    <row r="18" spans="1:10" x14ac:dyDescent="0.25">
      <c r="A18">
        <v>2025</v>
      </c>
      <c r="B18" t="s">
        <v>9</v>
      </c>
      <c r="C18" s="1">
        <v>1865</v>
      </c>
      <c r="D18" s="1">
        <v>120.23</v>
      </c>
      <c r="E18" s="1">
        <v>82.65</v>
      </c>
      <c r="F18" s="1">
        <v>10.050000000000001</v>
      </c>
      <c r="G18" s="1">
        <v>-3</v>
      </c>
      <c r="H18" s="1">
        <v>209.93</v>
      </c>
      <c r="I18" s="2">
        <f t="shared" si="2"/>
        <v>5.3887399463806978E-3</v>
      </c>
      <c r="J18" s="3">
        <f t="shared" si="3"/>
        <v>1.0217298176621095</v>
      </c>
    </row>
    <row r="19" spans="1:10" x14ac:dyDescent="0.25">
      <c r="A19">
        <v>2024</v>
      </c>
      <c r="B19" t="s">
        <v>14</v>
      </c>
      <c r="C19" s="1">
        <v>150</v>
      </c>
      <c r="D19" s="1">
        <v>-0.16</v>
      </c>
      <c r="E19" s="1">
        <v>-0.92</v>
      </c>
      <c r="F19" s="1">
        <v>0</v>
      </c>
      <c r="G19" s="1">
        <v>-0.01</v>
      </c>
      <c r="H19" s="1">
        <v>-1.0900000000000001</v>
      </c>
      <c r="I19" s="2">
        <f t="shared" si="2"/>
        <v>0</v>
      </c>
      <c r="J19" s="3">
        <f t="shared" si="3"/>
        <v>1</v>
      </c>
    </row>
    <row r="20" spans="1:10" x14ac:dyDescent="0.25">
      <c r="A20">
        <v>2024</v>
      </c>
      <c r="B20" t="s">
        <v>9</v>
      </c>
      <c r="C20" s="1">
        <v>450</v>
      </c>
      <c r="D20" s="1">
        <v>-0.12</v>
      </c>
      <c r="E20" s="1">
        <v>-5.72</v>
      </c>
      <c r="F20" s="1">
        <v>0.71</v>
      </c>
      <c r="G20" s="1">
        <v>-0.18</v>
      </c>
      <c r="H20" s="1">
        <v>-5.31</v>
      </c>
      <c r="I20" s="2">
        <f t="shared" si="2"/>
        <v>1.5777777777777778E-3</v>
      </c>
      <c r="J20" s="3">
        <f t="shared" si="3"/>
        <v>1.0063260631243749</v>
      </c>
    </row>
    <row r="21" spans="1:10" x14ac:dyDescent="0.25">
      <c r="A21">
        <v>2024</v>
      </c>
      <c r="B21" t="s">
        <v>15</v>
      </c>
      <c r="C21" s="1">
        <v>855</v>
      </c>
      <c r="D21" s="1">
        <v>-5.49</v>
      </c>
      <c r="E21" s="1">
        <v>-0.03</v>
      </c>
      <c r="F21" s="1">
        <v>1.84</v>
      </c>
      <c r="G21" s="1">
        <v>-0.51</v>
      </c>
      <c r="H21" s="1">
        <v>-4.1900000000000004</v>
      </c>
      <c r="I21" s="2">
        <f t="shared" si="2"/>
        <v>2.1520467836257311E-3</v>
      </c>
      <c r="J21" s="3">
        <f t="shared" si="3"/>
        <v>1.0086360148552491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E9E6-9856-48A6-BD62-97445EFE4D39}">
  <dimension ref="A1:W29"/>
  <sheetViews>
    <sheetView workbookViewId="0">
      <selection activeCell="M29" sqref="M29"/>
    </sheetView>
  </sheetViews>
  <sheetFormatPr defaultRowHeight="15" x14ac:dyDescent="0.25"/>
  <cols>
    <col min="1" max="1" width="15.7109375" bestFit="1" customWidth="1"/>
    <col min="2" max="2" width="6.28515625" bestFit="1" customWidth="1"/>
    <col min="3" max="3" width="10.7109375" bestFit="1" customWidth="1"/>
    <col min="4" max="4" width="7.28515625" bestFit="1" customWidth="1"/>
    <col min="5" max="5" width="7.7109375" bestFit="1" customWidth="1"/>
    <col min="6" max="6" width="12.42578125" bestFit="1" customWidth="1"/>
    <col min="7" max="7" width="16.140625" bestFit="1" customWidth="1"/>
    <col min="8" max="8" width="8.140625" bestFit="1" customWidth="1"/>
    <col min="9" max="9" width="16" bestFit="1" customWidth="1"/>
    <col min="10" max="10" width="18.140625" bestFit="1" customWidth="1"/>
    <col min="12" max="12" width="15.7109375" bestFit="1" customWidth="1"/>
    <col min="13" max="13" width="6.28515625" bestFit="1" customWidth="1"/>
    <col min="14" max="14" width="10.7109375" bestFit="1" customWidth="1"/>
    <col min="15" max="15" width="32.28515625" bestFit="1" customWidth="1"/>
    <col min="16" max="16" width="7.85546875" customWidth="1"/>
    <col min="17" max="17" width="9.85546875" customWidth="1"/>
    <col min="18" max="19" width="9.140625" customWidth="1"/>
  </cols>
  <sheetData>
    <row r="1" spans="1:23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4</v>
      </c>
      <c r="H1" t="s">
        <v>23</v>
      </c>
      <c r="I1" t="s">
        <v>24</v>
      </c>
      <c r="J1" t="s">
        <v>25</v>
      </c>
    </row>
    <row r="2" spans="1:23" x14ac:dyDescent="0.25">
      <c r="A2" t="s">
        <v>26</v>
      </c>
      <c r="B2" t="s">
        <v>27</v>
      </c>
      <c r="C2" s="1">
        <v>140.05000000000001</v>
      </c>
      <c r="D2" s="4">
        <v>7.0000000000000007E-2</v>
      </c>
      <c r="E2">
        <v>4.12</v>
      </c>
      <c r="F2" s="1">
        <v>111.43</v>
      </c>
      <c r="G2" s="1">
        <v>-28.62</v>
      </c>
      <c r="H2" s="5">
        <v>-0.2044</v>
      </c>
      <c r="I2" s="1">
        <v>-12.69</v>
      </c>
      <c r="J2" s="5">
        <v>-8.1799999999999998E-2</v>
      </c>
    </row>
    <row r="3" spans="1:23" x14ac:dyDescent="0.25">
      <c r="A3" t="s">
        <v>26</v>
      </c>
      <c r="B3" t="s">
        <v>28</v>
      </c>
      <c r="C3" s="1">
        <v>130.88</v>
      </c>
      <c r="D3" s="4">
        <v>7.0000000000000007E-2</v>
      </c>
      <c r="E3">
        <v>7.1</v>
      </c>
      <c r="F3" s="1">
        <v>162.06</v>
      </c>
      <c r="G3" s="1">
        <v>31.18</v>
      </c>
      <c r="H3" s="5">
        <v>0.2382</v>
      </c>
      <c r="I3" s="1">
        <v>-6.17</v>
      </c>
      <c r="J3" s="5">
        <v>-7.0800000000000002E-2</v>
      </c>
    </row>
    <row r="4" spans="1:23" x14ac:dyDescent="0.25">
      <c r="A4" t="s">
        <v>26</v>
      </c>
      <c r="B4" t="s">
        <v>29</v>
      </c>
      <c r="C4" s="1">
        <v>51.62</v>
      </c>
      <c r="D4" s="4">
        <v>0.03</v>
      </c>
      <c r="E4">
        <v>0.3</v>
      </c>
      <c r="F4" s="1">
        <v>60.65</v>
      </c>
      <c r="G4" s="1">
        <v>9.0299999999999994</v>
      </c>
      <c r="H4" s="5">
        <v>0.1749</v>
      </c>
      <c r="I4" s="1">
        <v>2.08</v>
      </c>
      <c r="J4" s="5">
        <v>7.3000000000000001E-3</v>
      </c>
    </row>
    <row r="5" spans="1:23" x14ac:dyDescent="0.25">
      <c r="A5" t="s">
        <v>26</v>
      </c>
      <c r="B5" t="s">
        <v>30</v>
      </c>
      <c r="C5" s="1">
        <v>30</v>
      </c>
      <c r="D5" s="4">
        <v>0.02</v>
      </c>
      <c r="E5">
        <v>0.7</v>
      </c>
      <c r="F5" s="1">
        <v>30.14</v>
      </c>
      <c r="G5" s="1">
        <v>0.14000000000000001</v>
      </c>
      <c r="H5" s="5">
        <v>4.7000000000000002E-3</v>
      </c>
      <c r="I5" s="1">
        <v>0.01</v>
      </c>
      <c r="J5" s="5">
        <v>2.0000000000000001E-4</v>
      </c>
    </row>
    <row r="6" spans="1:23" x14ac:dyDescent="0.25">
      <c r="A6" t="s">
        <v>26</v>
      </c>
      <c r="B6" t="s">
        <v>31</v>
      </c>
      <c r="C6" s="1">
        <v>24.55</v>
      </c>
      <c r="D6" s="4">
        <v>0.01</v>
      </c>
      <c r="E6">
        <v>0.34</v>
      </c>
      <c r="F6" s="1">
        <v>24.27</v>
      </c>
      <c r="G6" s="1">
        <v>-0.28000000000000003</v>
      </c>
      <c r="H6" s="5">
        <v>-1.14E-2</v>
      </c>
      <c r="I6" s="1">
        <v>-0.34</v>
      </c>
      <c r="J6" s="5">
        <v>-1.3899999999999999E-2</v>
      </c>
    </row>
    <row r="8" spans="1:23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4</v>
      </c>
      <c r="H8" t="s">
        <v>23</v>
      </c>
      <c r="I8" t="s">
        <v>24</v>
      </c>
      <c r="J8" t="s">
        <v>25</v>
      </c>
    </row>
    <row r="9" spans="1:23" x14ac:dyDescent="0.25">
      <c r="A9" t="s">
        <v>26</v>
      </c>
      <c r="B9" t="s">
        <v>27</v>
      </c>
      <c r="C9" s="1">
        <v>140.05000000000001</v>
      </c>
      <c r="D9" s="4">
        <v>7.0000000000000007E-2</v>
      </c>
      <c r="E9">
        <v>4.12</v>
      </c>
      <c r="F9" s="1">
        <v>111.43</v>
      </c>
      <c r="G9" s="1">
        <v>-28.62</v>
      </c>
      <c r="H9" s="5">
        <v>-0.2044</v>
      </c>
      <c r="I9" s="1">
        <v>3.38</v>
      </c>
      <c r="J9" s="5">
        <v>4.1799999999999997E-2</v>
      </c>
    </row>
    <row r="10" spans="1:23" x14ac:dyDescent="0.25">
      <c r="A10" t="s">
        <v>26</v>
      </c>
      <c r="B10" t="s">
        <v>28</v>
      </c>
      <c r="C10" s="1">
        <v>130.88</v>
      </c>
      <c r="D10" s="4">
        <v>7.0000000000000007E-2</v>
      </c>
      <c r="E10">
        <v>7.1</v>
      </c>
      <c r="F10" s="1">
        <v>162.06</v>
      </c>
      <c r="G10" s="1">
        <v>31.18</v>
      </c>
      <c r="H10" s="5">
        <v>0.2382</v>
      </c>
      <c r="I10" s="1">
        <v>4.3099999999999996</v>
      </c>
      <c r="J10" s="5">
        <v>1.6E-2</v>
      </c>
      <c r="P10" s="9" t="s">
        <v>44</v>
      </c>
      <c r="Q10" s="9"/>
      <c r="R10" s="9"/>
      <c r="S10" s="9"/>
      <c r="T10" s="9" t="s">
        <v>52</v>
      </c>
      <c r="U10" s="9"/>
      <c r="V10" s="11"/>
      <c r="W10" s="11"/>
    </row>
    <row r="11" spans="1:23" x14ac:dyDescent="0.25">
      <c r="A11" t="s">
        <v>26</v>
      </c>
      <c r="B11" t="s">
        <v>29</v>
      </c>
      <c r="C11" s="1">
        <v>51.62</v>
      </c>
      <c r="D11" s="4">
        <v>0.03</v>
      </c>
      <c r="E11">
        <v>0.3</v>
      </c>
      <c r="F11" s="1">
        <v>60.65</v>
      </c>
      <c r="G11" s="1">
        <v>9.0299999999999994</v>
      </c>
      <c r="H11" s="5">
        <v>0.1749</v>
      </c>
      <c r="I11" s="1">
        <v>-0.46</v>
      </c>
      <c r="J11" s="5">
        <v>-8.8000000000000005E-3</v>
      </c>
      <c r="L11" s="7" t="s">
        <v>17</v>
      </c>
      <c r="M11" s="7" t="s">
        <v>18</v>
      </c>
      <c r="N11" s="7" t="s">
        <v>32</v>
      </c>
      <c r="O11" s="7" t="s">
        <v>35</v>
      </c>
      <c r="P11" s="8" t="s">
        <v>41</v>
      </c>
      <c r="Q11" s="8" t="s">
        <v>42</v>
      </c>
      <c r="R11" s="8" t="s">
        <v>40</v>
      </c>
      <c r="S11" s="8" t="s">
        <v>43</v>
      </c>
      <c r="T11" s="8" t="s">
        <v>50</v>
      </c>
      <c r="U11" s="8" t="s">
        <v>51</v>
      </c>
      <c r="V11" s="8"/>
      <c r="W11" s="8"/>
    </row>
    <row r="12" spans="1:23" x14ac:dyDescent="0.25">
      <c r="A12" t="s">
        <v>26</v>
      </c>
      <c r="B12" t="s">
        <v>30</v>
      </c>
      <c r="C12" s="1">
        <v>30</v>
      </c>
      <c r="D12" s="4">
        <v>0.02</v>
      </c>
      <c r="E12">
        <v>0.7</v>
      </c>
      <c r="F12" s="1">
        <v>30.14</v>
      </c>
      <c r="G12" s="1">
        <v>0.14000000000000001</v>
      </c>
      <c r="H12" s="5">
        <v>4.7000000000000002E-3</v>
      </c>
      <c r="I12" s="1">
        <v>0.25</v>
      </c>
      <c r="J12" s="5">
        <v>8.3000000000000001E-3</v>
      </c>
      <c r="L12" t="s">
        <v>26</v>
      </c>
      <c r="M12" t="s">
        <v>27</v>
      </c>
      <c r="N12" t="s">
        <v>34</v>
      </c>
      <c r="O12" t="s">
        <v>39</v>
      </c>
      <c r="P12" s="6">
        <v>-0.2044</v>
      </c>
      <c r="Q12" s="6">
        <v>-0.21440000000000001</v>
      </c>
      <c r="R12" s="6">
        <v>-8.1799999999999998E-2</v>
      </c>
      <c r="S12" s="6">
        <v>4.1799999999999997E-2</v>
      </c>
      <c r="T12" s="10">
        <v>0.45</v>
      </c>
      <c r="U12" s="10">
        <v>0.55000000000000004</v>
      </c>
    </row>
    <row r="13" spans="1:23" x14ac:dyDescent="0.25">
      <c r="A13" t="s">
        <v>26</v>
      </c>
      <c r="B13" t="s">
        <v>31</v>
      </c>
      <c r="C13" s="1">
        <v>24.55</v>
      </c>
      <c r="D13" s="4">
        <v>0.01</v>
      </c>
      <c r="E13">
        <v>0.34</v>
      </c>
      <c r="F13" s="1">
        <v>24.27</v>
      </c>
      <c r="G13" s="1">
        <v>-0.28000000000000003</v>
      </c>
      <c r="H13" s="5">
        <v>-1.14E-2</v>
      </c>
      <c r="I13" s="1">
        <v>0.63</v>
      </c>
      <c r="J13" s="5">
        <v>2.58E-2</v>
      </c>
      <c r="L13" t="s">
        <v>26</v>
      </c>
      <c r="M13" t="s">
        <v>28</v>
      </c>
      <c r="N13" t="s">
        <v>34</v>
      </c>
      <c r="O13" t="s">
        <v>39</v>
      </c>
      <c r="P13" s="6">
        <v>0.2382</v>
      </c>
      <c r="Q13" s="6">
        <v>0.2969</v>
      </c>
      <c r="R13" s="6">
        <v>-7.0800000000000002E-2</v>
      </c>
      <c r="S13" s="6">
        <v>1.6E-2</v>
      </c>
      <c r="T13" s="10">
        <v>0.67</v>
      </c>
      <c r="U13" s="10">
        <v>0.33</v>
      </c>
    </row>
    <row r="14" spans="1:23" x14ac:dyDescent="0.25">
      <c r="L14" t="s">
        <v>26</v>
      </c>
      <c r="M14" t="s">
        <v>29</v>
      </c>
      <c r="N14" t="s">
        <v>34</v>
      </c>
      <c r="O14" t="s">
        <v>38</v>
      </c>
      <c r="P14" s="6">
        <v>0.1749</v>
      </c>
      <c r="Q14" s="6">
        <v>0.18140000000000001</v>
      </c>
      <c r="R14" s="6">
        <v>7.3000000000000001E-3</v>
      </c>
      <c r="S14" s="6">
        <v>-8.8000000000000005E-3</v>
      </c>
      <c r="T14" s="10">
        <v>0</v>
      </c>
      <c r="U14" s="10">
        <v>0</v>
      </c>
    </row>
    <row r="15" spans="1:23" x14ac:dyDescent="0.25">
      <c r="L15" t="s">
        <v>26</v>
      </c>
      <c r="M15" t="s">
        <v>30</v>
      </c>
      <c r="N15" t="s">
        <v>33</v>
      </c>
      <c r="O15" t="s">
        <v>36</v>
      </c>
      <c r="P15" s="6">
        <v>4.7000000000000002E-3</v>
      </c>
      <c r="Q15" s="6">
        <v>3.9199999999999999E-2</v>
      </c>
      <c r="R15" s="6">
        <v>2.0000000000000001E-4</v>
      </c>
      <c r="S15" s="6">
        <v>8.3000000000000001E-3</v>
      </c>
      <c r="T15" s="10">
        <v>0</v>
      </c>
      <c r="U15" s="10">
        <v>0.28000000000000003</v>
      </c>
    </row>
    <row r="16" spans="1:23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4</v>
      </c>
      <c r="H16" t="s">
        <v>23</v>
      </c>
      <c r="I16" t="s">
        <v>24</v>
      </c>
      <c r="J16" t="s">
        <v>25</v>
      </c>
      <c r="L16" t="s">
        <v>26</v>
      </c>
      <c r="M16" t="s">
        <v>31</v>
      </c>
      <c r="N16" t="s">
        <v>33</v>
      </c>
      <c r="O16" t="s">
        <v>37</v>
      </c>
      <c r="P16" s="6">
        <v>-1.14E-2</v>
      </c>
      <c r="Q16" s="6">
        <v>1.38E-2</v>
      </c>
      <c r="R16" s="6">
        <v>-1.3899999999999999E-2</v>
      </c>
      <c r="S16" s="6">
        <v>2.58E-2</v>
      </c>
      <c r="T16" s="10">
        <v>0</v>
      </c>
      <c r="U16" s="10">
        <v>0.3</v>
      </c>
    </row>
    <row r="17" spans="1:21" x14ac:dyDescent="0.25">
      <c r="A17" t="s">
        <v>26</v>
      </c>
      <c r="B17" t="s">
        <v>27</v>
      </c>
      <c r="C17" s="1">
        <v>140.05000000000001</v>
      </c>
      <c r="D17" s="4">
        <v>7.0000000000000007E-2</v>
      </c>
      <c r="E17">
        <v>4.12</v>
      </c>
      <c r="F17" s="1">
        <v>111.43</v>
      </c>
      <c r="G17" s="1">
        <v>-28.62</v>
      </c>
      <c r="H17" s="5">
        <v>-0.2044</v>
      </c>
      <c r="I17" s="1">
        <v>-28.68</v>
      </c>
      <c r="J17" s="5">
        <v>-0.21440000000000001</v>
      </c>
      <c r="O17" t="s">
        <v>47</v>
      </c>
      <c r="Q17" s="6">
        <v>-0.12590000000000001</v>
      </c>
      <c r="R17" s="6">
        <v>-2.06E-2</v>
      </c>
      <c r="S17" s="6">
        <v>1.3299999999999999E-2</v>
      </c>
      <c r="T17" s="10">
        <v>1</v>
      </c>
      <c r="U17" s="10">
        <v>0</v>
      </c>
    </row>
    <row r="18" spans="1:21" x14ac:dyDescent="0.25">
      <c r="A18" t="s">
        <v>26</v>
      </c>
      <c r="B18" t="s">
        <v>28</v>
      </c>
      <c r="C18" s="1">
        <v>130.88</v>
      </c>
      <c r="D18" s="4">
        <v>7.0000000000000007E-2</v>
      </c>
      <c r="E18">
        <v>7.1</v>
      </c>
      <c r="F18" s="1">
        <v>162.06</v>
      </c>
      <c r="G18" s="1">
        <v>31.18</v>
      </c>
      <c r="H18" s="5">
        <v>0.2382</v>
      </c>
      <c r="I18" s="1">
        <v>31.23</v>
      </c>
      <c r="J18" s="5">
        <v>0.2969</v>
      </c>
      <c r="O18" t="s">
        <v>48</v>
      </c>
      <c r="Q18" s="6">
        <v>-0.1905</v>
      </c>
      <c r="R18" s="6">
        <v>-1.8700000000000001E-2</v>
      </c>
      <c r="S18" s="6">
        <v>-3.5099999999999999E-2</v>
      </c>
      <c r="T18" s="10">
        <v>0</v>
      </c>
      <c r="U18" s="10">
        <v>1</v>
      </c>
    </row>
    <row r="19" spans="1:21" x14ac:dyDescent="0.25">
      <c r="A19" t="s">
        <v>26</v>
      </c>
      <c r="B19" t="s">
        <v>29</v>
      </c>
      <c r="C19" s="1">
        <v>51.62</v>
      </c>
      <c r="D19" s="4">
        <v>0.03</v>
      </c>
      <c r="E19">
        <v>0.3</v>
      </c>
      <c r="F19" s="1">
        <v>60.65</v>
      </c>
      <c r="G19" s="1">
        <v>9.0299999999999994</v>
      </c>
      <c r="H19" s="5">
        <v>0.1749</v>
      </c>
      <c r="I19" s="1">
        <v>9.2100000000000009</v>
      </c>
      <c r="J19" s="5">
        <v>0.18140000000000001</v>
      </c>
      <c r="O19" t="s">
        <v>49</v>
      </c>
      <c r="Q19" s="6">
        <v>-0.15820000000000001</v>
      </c>
      <c r="R19" s="6">
        <v>-1.9699999999999999E-2</v>
      </c>
      <c r="S19" s="6">
        <v>-1.09E-2</v>
      </c>
      <c r="T19" s="10">
        <v>0.5</v>
      </c>
      <c r="U19" s="10">
        <v>0.5</v>
      </c>
    </row>
    <row r="20" spans="1:21" x14ac:dyDescent="0.25">
      <c r="A20" t="s">
        <v>26</v>
      </c>
      <c r="B20" t="s">
        <v>30</v>
      </c>
      <c r="C20" s="1">
        <v>30</v>
      </c>
      <c r="D20" s="4">
        <v>0.02</v>
      </c>
      <c r="E20">
        <v>0.7</v>
      </c>
      <c r="F20" s="1">
        <v>30.14</v>
      </c>
      <c r="G20" s="1">
        <v>0.14000000000000001</v>
      </c>
      <c r="H20" s="5">
        <v>4.7000000000000002E-3</v>
      </c>
      <c r="I20" s="1">
        <v>0.49</v>
      </c>
      <c r="J20" s="5">
        <v>3.9199999999999999E-2</v>
      </c>
    </row>
    <row r="21" spans="1:21" x14ac:dyDescent="0.25">
      <c r="A21" t="s">
        <v>26</v>
      </c>
      <c r="B21" t="s">
        <v>31</v>
      </c>
      <c r="C21" s="1">
        <v>24.55</v>
      </c>
      <c r="D21" s="4">
        <v>0.01</v>
      </c>
      <c r="E21">
        <v>0.34</v>
      </c>
      <c r="F21" s="1">
        <v>24.27</v>
      </c>
      <c r="G21" s="1">
        <v>-0.28000000000000003</v>
      </c>
      <c r="H21" s="5">
        <v>-1.14E-2</v>
      </c>
      <c r="I21" s="1">
        <v>-0.16</v>
      </c>
      <c r="J21" s="5">
        <v>1.38E-2</v>
      </c>
      <c r="P21">
        <v>0.5</v>
      </c>
      <c r="Q21">
        <f>$P$21*Q17+$P$22*Q18</f>
        <v>-0.15820000000000001</v>
      </c>
      <c r="R21">
        <f t="shared" ref="R21:S21" si="0">$P$21*R17+$P$22*R18</f>
        <v>-1.9650000000000001E-2</v>
      </c>
      <c r="S21">
        <f t="shared" si="0"/>
        <v>-1.09E-2</v>
      </c>
    </row>
    <row r="22" spans="1:21" x14ac:dyDescent="0.25">
      <c r="P22">
        <v>0.5</v>
      </c>
    </row>
    <row r="23" spans="1:21" x14ac:dyDescent="0.25">
      <c r="O23" t="s">
        <v>45</v>
      </c>
    </row>
    <row r="27" spans="1:21" x14ac:dyDescent="0.25">
      <c r="O27" t="s">
        <v>45</v>
      </c>
    </row>
    <row r="29" spans="1:21" x14ac:dyDescent="0.25">
      <c r="O29" s="7" t="s">
        <v>46</v>
      </c>
      <c r="P29" t="str" cm="1">
        <f t="array" ref="P29:S29">_xlfn.TEXTSPLIT(O29,"%")</f>
        <v>WTI Crude (CL=F)−12.59</v>
      </c>
      <c r="Q29" t="str">
        <v>−2.06</v>
      </c>
      <c r="R29" t="str">
        <v>+1.33</v>
      </c>
      <c r="S29" t="str">
        <v/>
      </c>
    </row>
  </sheetData>
  <mergeCells count="2">
    <mergeCell ref="P10:S10"/>
    <mergeCell ref="T10:U10"/>
  </mergeCells>
  <conditionalFormatting sqref="Q12:Q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R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:S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DE07-5DF6-4850-9790-41C17DE0C507}">
  <dimension ref="A1:F10"/>
  <sheetViews>
    <sheetView workbookViewId="0">
      <selection activeCell="F19" sqref="F19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9.42578125" bestFit="1" customWidth="1"/>
    <col min="4" max="4" width="45.85546875" bestFit="1" customWidth="1"/>
    <col min="5" max="5" width="25" bestFit="1" customWidth="1"/>
    <col min="6" max="6" width="9" bestFit="1" customWidth="1"/>
  </cols>
  <sheetData>
    <row r="1" spans="1:6" ht="31.5" x14ac:dyDescent="0.25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18</v>
      </c>
      <c r="F1" s="12" t="s">
        <v>57</v>
      </c>
    </row>
    <row r="2" spans="1:6" ht="15.75" x14ac:dyDescent="0.25">
      <c r="A2" s="13" t="s">
        <v>58</v>
      </c>
      <c r="B2" s="14" t="s">
        <v>59</v>
      </c>
      <c r="C2" s="14" t="s">
        <v>60</v>
      </c>
      <c r="D2" s="14" t="s">
        <v>61</v>
      </c>
      <c r="E2" s="14" t="s">
        <v>62</v>
      </c>
      <c r="F2" s="15">
        <v>14.6</v>
      </c>
    </row>
    <row r="3" spans="1:6" ht="15.75" x14ac:dyDescent="0.25">
      <c r="A3" s="13"/>
      <c r="B3" s="14" t="s">
        <v>63</v>
      </c>
      <c r="C3" s="14" t="s">
        <v>60</v>
      </c>
      <c r="D3" s="14" t="s">
        <v>64</v>
      </c>
      <c r="E3" s="14" t="s">
        <v>65</v>
      </c>
      <c r="F3" s="15">
        <v>5.9</v>
      </c>
    </row>
    <row r="4" spans="1:6" ht="15.75" x14ac:dyDescent="0.25">
      <c r="A4" s="13"/>
      <c r="B4" s="14" t="s">
        <v>66</v>
      </c>
      <c r="C4" s="14" t="s">
        <v>60</v>
      </c>
      <c r="D4" s="14" t="s">
        <v>67</v>
      </c>
      <c r="E4" s="14" t="s">
        <v>68</v>
      </c>
      <c r="F4" s="15">
        <v>197.5</v>
      </c>
    </row>
    <row r="5" spans="1:6" ht="15.75" x14ac:dyDescent="0.25">
      <c r="A5" s="13" t="s">
        <v>69</v>
      </c>
      <c r="B5" s="14" t="s">
        <v>70</v>
      </c>
      <c r="C5" s="14" t="s">
        <v>60</v>
      </c>
      <c r="D5" s="14" t="s">
        <v>71</v>
      </c>
      <c r="E5" s="14" t="s">
        <v>72</v>
      </c>
      <c r="F5" s="15"/>
    </row>
    <row r="6" spans="1:6" ht="15.75" x14ac:dyDescent="0.25">
      <c r="A6" s="13"/>
      <c r="B6" s="14" t="s">
        <v>73</v>
      </c>
      <c r="C6" s="14" t="s">
        <v>60</v>
      </c>
      <c r="D6" s="14" t="s">
        <v>74</v>
      </c>
      <c r="E6" s="14" t="s">
        <v>75</v>
      </c>
      <c r="F6" s="15"/>
    </row>
    <row r="7" spans="1:6" ht="15.75" x14ac:dyDescent="0.25">
      <c r="A7" s="13" t="s">
        <v>76</v>
      </c>
      <c r="B7" s="14" t="s">
        <v>77</v>
      </c>
      <c r="C7" s="14" t="s">
        <v>60</v>
      </c>
      <c r="D7" s="14" t="s">
        <v>78</v>
      </c>
      <c r="E7" s="14" t="s">
        <v>79</v>
      </c>
      <c r="F7" s="15">
        <v>25.5</v>
      </c>
    </row>
    <row r="8" spans="1:6" ht="15.75" x14ac:dyDescent="0.25">
      <c r="A8" s="13"/>
      <c r="B8" s="14" t="s">
        <v>80</v>
      </c>
      <c r="C8" s="14" t="s">
        <v>81</v>
      </c>
      <c r="D8" s="14" t="s">
        <v>82</v>
      </c>
      <c r="E8" s="14" t="s">
        <v>83</v>
      </c>
      <c r="F8" s="15">
        <v>338.2</v>
      </c>
    </row>
    <row r="9" spans="1:6" ht="15.75" x14ac:dyDescent="0.25">
      <c r="A9" s="13"/>
      <c r="B9" s="14" t="s">
        <v>84</v>
      </c>
      <c r="C9" s="14" t="s">
        <v>81</v>
      </c>
      <c r="D9" s="14" t="s">
        <v>85</v>
      </c>
      <c r="E9" s="14" t="s">
        <v>68</v>
      </c>
      <c r="F9" s="15">
        <v>0.2</v>
      </c>
    </row>
    <row r="10" spans="1:6" ht="15.75" x14ac:dyDescent="0.25">
      <c r="A10" s="13"/>
      <c r="B10" s="14" t="s">
        <v>86</v>
      </c>
      <c r="C10" s="14" t="s">
        <v>60</v>
      </c>
      <c r="D10" s="14" t="s">
        <v>87</v>
      </c>
      <c r="E10" s="14" t="s">
        <v>88</v>
      </c>
      <c r="F10" s="15"/>
    </row>
  </sheetData>
  <mergeCells count="3">
    <mergeCell ref="A2:A4"/>
    <mergeCell ref="A5:A6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Walton</dc:creator>
  <cp:lastModifiedBy>Samuel Rodriguez Walton</cp:lastModifiedBy>
  <dcterms:created xsi:type="dcterms:W3CDTF">2025-09-13T18:05:29Z</dcterms:created>
  <dcterms:modified xsi:type="dcterms:W3CDTF">2025-09-14T03:24:29Z</dcterms:modified>
</cp:coreProperties>
</file>