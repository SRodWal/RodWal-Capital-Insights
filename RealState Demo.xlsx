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odwals-my.sharepoint.com/personal/samuel_rodwal_com/Documents/Professional_WorkTools/Github/RodWal-Capital-Insights/"/>
    </mc:Choice>
  </mc:AlternateContent>
  <xr:revisionPtr revIDLastSave="406" documentId="8_{D9D41425-BFBA-4D17-9F9F-E4882D05B281}" xr6:coauthVersionLast="47" xr6:coauthVersionMax="47" xr10:uidLastSave="{2B869B72-65CA-471B-9EA1-BC8572C18FA4}"/>
  <bookViews>
    <workbookView xWindow="-120" yWindow="-120" windowWidth="29040" windowHeight="15720" xr2:uid="{C700A36C-2A74-4E38-84B3-E96986FC4AC7}"/>
  </bookViews>
  <sheets>
    <sheet name="Sheet1" sheetId="1" r:id="rId1"/>
    <sheet name="CALC" sheetId="2" r:id="rId2"/>
  </sheets>
  <calcPr calcId="191029"/>
  <pivotCaches>
    <pivotCache cacheId="10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10" i="1"/>
  <c r="C10" i="1"/>
  <c r="E9" i="1"/>
  <c r="D9" i="1"/>
  <c r="D3" i="1"/>
  <c r="D2" i="1"/>
  <c r="C2" i="2"/>
  <c r="I2" i="2" s="1"/>
  <c r="B3" i="2" a="1"/>
  <c r="A2" i="2"/>
  <c r="E12" i="1"/>
  <c r="E11" i="1"/>
  <c r="D12" i="1"/>
  <c r="D11" i="1"/>
  <c r="C11" i="1"/>
  <c r="A252" i="2" l="1"/>
  <c r="A264" i="2"/>
  <c r="A276" i="2"/>
  <c r="A288" i="2"/>
  <c r="A300" i="2"/>
  <c r="A312" i="2"/>
  <c r="A324" i="2"/>
  <c r="A336" i="2"/>
  <c r="A348" i="2"/>
  <c r="A360" i="2"/>
  <c r="A314" i="2"/>
  <c r="A338" i="2"/>
  <c r="A362" i="2"/>
  <c r="A292" i="2"/>
  <c r="A328" i="2"/>
  <c r="A257" i="2"/>
  <c r="A293" i="2"/>
  <c r="A329" i="2"/>
  <c r="A258" i="2"/>
  <c r="A306" i="2"/>
  <c r="A354" i="2"/>
  <c r="A259" i="2"/>
  <c r="A283" i="2"/>
  <c r="A307" i="2"/>
  <c r="A331" i="2"/>
  <c r="A248" i="2"/>
  <c r="A296" i="2"/>
  <c r="A332" i="2"/>
  <c r="A249" i="2"/>
  <c r="A285" i="2"/>
  <c r="A333" i="2"/>
  <c r="A250" i="2"/>
  <c r="A298" i="2"/>
  <c r="A358" i="2"/>
  <c r="A263" i="2"/>
  <c r="A323" i="2"/>
  <c r="A253" i="2"/>
  <c r="A265" i="2"/>
  <c r="A277" i="2"/>
  <c r="A289" i="2"/>
  <c r="A301" i="2"/>
  <c r="A313" i="2"/>
  <c r="A325" i="2"/>
  <c r="A337" i="2"/>
  <c r="A349" i="2"/>
  <c r="A361" i="2"/>
  <c r="A302" i="2"/>
  <c r="A326" i="2"/>
  <c r="A350" i="2"/>
  <c r="A268" i="2"/>
  <c r="A316" i="2"/>
  <c r="A352" i="2"/>
  <c r="A269" i="2"/>
  <c r="A281" i="2"/>
  <c r="A317" i="2"/>
  <c r="A341" i="2"/>
  <c r="A270" i="2"/>
  <c r="A294" i="2"/>
  <c r="A330" i="2"/>
  <c r="A359" i="2"/>
  <c r="A335" i="2"/>
  <c r="A287" i="2"/>
  <c r="A251" i="2"/>
  <c r="A334" i="2"/>
  <c r="A286" i="2"/>
  <c r="A262" i="2"/>
  <c r="A357" i="2"/>
  <c r="A321" i="2"/>
  <c r="A297" i="2"/>
  <c r="A261" i="2"/>
  <c r="A344" i="2"/>
  <c r="A308" i="2"/>
  <c r="A272" i="2"/>
  <c r="A355" i="2"/>
  <c r="A246" i="2"/>
  <c r="A299" i="2"/>
  <c r="A322" i="2"/>
  <c r="A342" i="2"/>
  <c r="A311" i="2"/>
  <c r="A275" i="2"/>
  <c r="A346" i="2"/>
  <c r="A310" i="2"/>
  <c r="A274" i="2"/>
  <c r="A345" i="2"/>
  <c r="A309" i="2"/>
  <c r="A273" i="2"/>
  <c r="A356" i="2"/>
  <c r="A320" i="2"/>
  <c r="A284" i="2"/>
  <c r="A260" i="2"/>
  <c r="A343" i="2"/>
  <c r="A319" i="2"/>
  <c r="A295" i="2"/>
  <c r="A271" i="2"/>
  <c r="A247" i="2"/>
  <c r="A318" i="2"/>
  <c r="A282" i="2"/>
  <c r="A353" i="2"/>
  <c r="A305" i="2"/>
  <c r="A245" i="2"/>
  <c r="A340" i="2"/>
  <c r="A304" i="2"/>
  <c r="A280" i="2"/>
  <c r="A256" i="2"/>
  <c r="A244" i="2"/>
  <c r="A351" i="2"/>
  <c r="A339" i="2"/>
  <c r="A327" i="2"/>
  <c r="A315" i="2"/>
  <c r="A303" i="2"/>
  <c r="A291" i="2"/>
  <c r="A279" i="2"/>
  <c r="A267" i="2"/>
  <c r="A255" i="2"/>
  <c r="A243" i="2"/>
  <c r="A347" i="2"/>
  <c r="A290" i="2"/>
  <c r="A278" i="2"/>
  <c r="A266" i="2"/>
  <c r="A254" i="2"/>
  <c r="A92" i="2"/>
  <c r="A104" i="2"/>
  <c r="A116" i="2"/>
  <c r="A128" i="2"/>
  <c r="A140" i="2"/>
  <c r="A152" i="2"/>
  <c r="A164" i="2"/>
  <c r="A176" i="2"/>
  <c r="A188" i="2"/>
  <c r="A200" i="2"/>
  <c r="A212" i="2"/>
  <c r="A224" i="2"/>
  <c r="A236" i="2"/>
  <c r="A110" i="2"/>
  <c r="A170" i="2"/>
  <c r="A218" i="2"/>
  <c r="A99" i="2"/>
  <c r="A195" i="2"/>
  <c r="A90" i="2"/>
  <c r="A103" i="2"/>
  <c r="A211" i="2"/>
  <c r="A151" i="2"/>
  <c r="A222" i="2"/>
  <c r="A150" i="2"/>
  <c r="A209" i="2"/>
  <c r="A113" i="2"/>
  <c r="A87" i="2"/>
  <c r="A91" i="2"/>
  <c r="A122" i="2"/>
  <c r="A235" i="2"/>
  <c r="A163" i="2"/>
  <c r="A162" i="2"/>
  <c r="A221" i="2"/>
  <c r="A161" i="2"/>
  <c r="A125" i="2"/>
  <c r="A208" i="2"/>
  <c r="A148" i="2"/>
  <c r="A88" i="2"/>
  <c r="A207" i="2"/>
  <c r="A159" i="2"/>
  <c r="A111" i="2"/>
  <c r="A194" i="2"/>
  <c r="A158" i="2"/>
  <c r="A86" i="2"/>
  <c r="A241" i="2"/>
  <c r="A229" i="2"/>
  <c r="A217" i="2"/>
  <c r="A205" i="2"/>
  <c r="A193" i="2"/>
  <c r="A181" i="2"/>
  <c r="A169" i="2"/>
  <c r="A157" i="2"/>
  <c r="A145" i="2"/>
  <c r="A133" i="2"/>
  <c r="A121" i="2"/>
  <c r="A109" i="2"/>
  <c r="A97" i="2"/>
  <c r="A85" i="2"/>
  <c r="A175" i="2"/>
  <c r="A186" i="2"/>
  <c r="A174" i="2"/>
  <c r="A102" i="2"/>
  <c r="A173" i="2"/>
  <c r="A89" i="2"/>
  <c r="A232" i="2"/>
  <c r="A184" i="2"/>
  <c r="A136" i="2"/>
  <c r="A112" i="2"/>
  <c r="A231" i="2"/>
  <c r="A183" i="2"/>
  <c r="A123" i="2"/>
  <c r="A206" i="2"/>
  <c r="A134" i="2"/>
  <c r="A240" i="2"/>
  <c r="A228" i="2"/>
  <c r="A216" i="2"/>
  <c r="A204" i="2"/>
  <c r="A192" i="2"/>
  <c r="A180" i="2"/>
  <c r="A168" i="2"/>
  <c r="A156" i="2"/>
  <c r="A144" i="2"/>
  <c r="A132" i="2"/>
  <c r="A120" i="2"/>
  <c r="A108" i="2"/>
  <c r="A96" i="2"/>
  <c r="A84" i="2"/>
  <c r="A223" i="2"/>
  <c r="A139" i="2"/>
  <c r="A198" i="2"/>
  <c r="A126" i="2"/>
  <c r="A197" i="2"/>
  <c r="A137" i="2"/>
  <c r="A220" i="2"/>
  <c r="A160" i="2"/>
  <c r="A135" i="2"/>
  <c r="A239" i="2"/>
  <c r="A227" i="2"/>
  <c r="A215" i="2"/>
  <c r="A203" i="2"/>
  <c r="A191" i="2"/>
  <c r="A179" i="2"/>
  <c r="A167" i="2"/>
  <c r="A155" i="2"/>
  <c r="A143" i="2"/>
  <c r="A131" i="2"/>
  <c r="A119" i="2"/>
  <c r="A107" i="2"/>
  <c r="A95" i="2"/>
  <c r="A83" i="2"/>
  <c r="A187" i="2"/>
  <c r="A127" i="2"/>
  <c r="A234" i="2"/>
  <c r="A138" i="2"/>
  <c r="A185" i="2"/>
  <c r="A101" i="2"/>
  <c r="A172" i="2"/>
  <c r="A124" i="2"/>
  <c r="A219" i="2"/>
  <c r="A147" i="2"/>
  <c r="A230" i="2"/>
  <c r="A146" i="2"/>
  <c r="A238" i="2"/>
  <c r="A226" i="2"/>
  <c r="A214" i="2"/>
  <c r="A202" i="2"/>
  <c r="A190" i="2"/>
  <c r="A178" i="2"/>
  <c r="A166" i="2"/>
  <c r="A154" i="2"/>
  <c r="A142" i="2"/>
  <c r="A130" i="2"/>
  <c r="A118" i="2"/>
  <c r="A106" i="2"/>
  <c r="A94" i="2"/>
  <c r="A82" i="2"/>
  <c r="A199" i="2"/>
  <c r="A115" i="2"/>
  <c r="A210" i="2"/>
  <c r="A114" i="2"/>
  <c r="A233" i="2"/>
  <c r="A149" i="2"/>
  <c r="A196" i="2"/>
  <c r="A100" i="2"/>
  <c r="A171" i="2"/>
  <c r="A242" i="2"/>
  <c r="A182" i="2"/>
  <c r="A98" i="2"/>
  <c r="A237" i="2"/>
  <c r="A225" i="2"/>
  <c r="A213" i="2"/>
  <c r="A201" i="2"/>
  <c r="A189" i="2"/>
  <c r="A177" i="2"/>
  <c r="A165" i="2"/>
  <c r="A153" i="2"/>
  <c r="A141" i="2"/>
  <c r="A129" i="2"/>
  <c r="A117" i="2"/>
  <c r="A105" i="2"/>
  <c r="A93" i="2"/>
  <c r="A81" i="2"/>
  <c r="B3" i="2"/>
  <c r="A3" i="2" s="1"/>
  <c r="A80" i="2"/>
  <c r="A68" i="2"/>
  <c r="A76" i="2"/>
  <c r="A70" i="2"/>
  <c r="A71" i="2"/>
  <c r="A73" i="2"/>
  <c r="A63" i="2"/>
  <c r="A65" i="2"/>
  <c r="A77" i="2"/>
  <c r="A69" i="2"/>
  <c r="A75" i="2"/>
  <c r="A66" i="2"/>
  <c r="A78" i="2"/>
  <c r="A72" i="2"/>
  <c r="A74" i="2"/>
  <c r="A64" i="2"/>
  <c r="A67" i="2"/>
  <c r="A79" i="2"/>
  <c r="A13" i="2"/>
  <c r="A21" i="2"/>
  <c r="A31" i="2"/>
  <c r="A39" i="2"/>
  <c r="A47" i="2"/>
  <c r="A53" i="2"/>
  <c r="A55" i="2"/>
  <c r="A9" i="2"/>
  <c r="A25" i="2"/>
  <c r="A17" i="2"/>
  <c r="A51" i="2"/>
  <c r="A14" i="2"/>
  <c r="A38" i="2"/>
  <c r="A60" i="2"/>
  <c r="A7" i="2"/>
  <c r="A15" i="2"/>
  <c r="A27" i="2"/>
  <c r="A37" i="2"/>
  <c r="A49" i="2"/>
  <c r="A10" i="2"/>
  <c r="A16" i="2"/>
  <c r="A22" i="2"/>
  <c r="A26" i="2"/>
  <c r="A36" i="2"/>
  <c r="A46" i="2"/>
  <c r="A48" i="2"/>
  <c r="A50" i="2"/>
  <c r="A56" i="2"/>
  <c r="A62" i="2"/>
  <c r="F2" i="2"/>
  <c r="G2" i="2" s="1"/>
  <c r="A19" i="2"/>
  <c r="A35" i="2"/>
  <c r="A45" i="2"/>
  <c r="A59" i="2"/>
  <c r="A8" i="2"/>
  <c r="A28" i="2"/>
  <c r="H2" i="2"/>
  <c r="A11" i="2"/>
  <c r="A29" i="2"/>
  <c r="A43" i="2"/>
  <c r="A57" i="2"/>
  <c r="A6" i="2"/>
  <c r="A20" i="2"/>
  <c r="A32" i="2"/>
  <c r="A42" i="2"/>
  <c r="A54" i="2"/>
  <c r="A33" i="2"/>
  <c r="A12" i="2"/>
  <c r="A24" i="2"/>
  <c r="A34" i="2"/>
  <c r="A44" i="2"/>
  <c r="A52" i="2"/>
  <c r="A5" i="2"/>
  <c r="A23" i="2"/>
  <c r="A41" i="2"/>
  <c r="A61" i="2"/>
  <c r="A4" i="2"/>
  <c r="A18" i="2"/>
  <c r="A30" i="2"/>
  <c r="A40" i="2"/>
  <c r="A58" i="2"/>
  <c r="D3" i="2" l="1"/>
  <c r="C6" i="1" l="1"/>
  <c r="C12" i="1"/>
  <c r="E3" i="2" l="1"/>
  <c r="F3" i="2" s="1"/>
  <c r="G3" i="2" s="1"/>
  <c r="D6" i="1"/>
  <c r="H3" i="2" l="1"/>
  <c r="I3" i="2"/>
  <c r="D4" i="2"/>
  <c r="E4" i="2" l="1"/>
  <c r="I4" i="2" l="1"/>
  <c r="H4" i="2"/>
  <c r="F4" i="2"/>
  <c r="G4" i="2" s="1"/>
  <c r="D5" i="2" l="1"/>
  <c r="E5" i="2" l="1"/>
  <c r="I5" i="2" l="1"/>
  <c r="H5" i="2"/>
  <c r="F5" i="2"/>
  <c r="G5" i="2" s="1"/>
  <c r="D6" i="2" l="1"/>
  <c r="E6" i="2" l="1"/>
  <c r="I6" i="2" l="1"/>
  <c r="H6" i="2"/>
  <c r="F6" i="2"/>
  <c r="G6" i="2" s="1"/>
  <c r="D7" i="2" l="1"/>
  <c r="E7" i="2" l="1"/>
  <c r="I7" i="2" l="1"/>
  <c r="H7" i="2"/>
  <c r="F7" i="2"/>
  <c r="G7" i="2" s="1"/>
  <c r="D8" i="2" l="1"/>
  <c r="E8" i="2" l="1"/>
  <c r="I8" i="2" l="1"/>
  <c r="H8" i="2"/>
  <c r="F8" i="2"/>
  <c r="G8" i="2" s="1"/>
  <c r="D9" i="2" l="1"/>
  <c r="E9" i="2" l="1"/>
  <c r="I9" i="2" l="1"/>
  <c r="H9" i="2"/>
  <c r="F9" i="2"/>
  <c r="G9" i="2" s="1"/>
  <c r="D10" i="2" l="1"/>
  <c r="E10" i="2" l="1"/>
  <c r="I10" i="2" l="1"/>
  <c r="H10" i="2"/>
  <c r="F10" i="2"/>
  <c r="G10" i="2" s="1"/>
  <c r="D11" i="2" l="1"/>
  <c r="E11" i="2" s="1"/>
  <c r="I11" i="2" l="1"/>
  <c r="H11" i="2"/>
  <c r="F11" i="2"/>
  <c r="G11" i="2" s="1"/>
  <c r="D12" i="2" l="1"/>
  <c r="E12" i="2" l="1"/>
  <c r="I12" i="2" l="1"/>
  <c r="H12" i="2"/>
  <c r="F12" i="2"/>
  <c r="G12" i="2" s="1"/>
  <c r="D13" i="2" l="1"/>
  <c r="E13" i="2" l="1"/>
  <c r="I13" i="2" l="1"/>
  <c r="H13" i="2"/>
  <c r="F13" i="2"/>
  <c r="G13" i="2" s="1"/>
  <c r="D14" i="2" l="1"/>
  <c r="E14" i="2" l="1"/>
  <c r="I14" i="2" l="1"/>
  <c r="H14" i="2"/>
  <c r="F14" i="2"/>
  <c r="G14" i="2" s="1"/>
  <c r="D15" i="2" l="1"/>
  <c r="E15" i="2" l="1"/>
  <c r="I15" i="2" l="1"/>
  <c r="H15" i="2"/>
  <c r="F15" i="2"/>
  <c r="G15" i="2" s="1"/>
  <c r="D16" i="2" l="1"/>
  <c r="E16" i="2" l="1"/>
  <c r="I16" i="2" l="1"/>
  <c r="H16" i="2"/>
  <c r="F16" i="2"/>
  <c r="G16" i="2" s="1"/>
  <c r="D17" i="2" l="1"/>
  <c r="E17" i="2" l="1"/>
  <c r="I17" i="2" l="1"/>
  <c r="H17" i="2"/>
  <c r="F17" i="2"/>
  <c r="G17" i="2" s="1"/>
  <c r="D18" i="2" l="1"/>
  <c r="E18" i="2" l="1"/>
  <c r="I18" i="2" l="1"/>
  <c r="H18" i="2"/>
  <c r="F18" i="2"/>
  <c r="G18" i="2" s="1"/>
  <c r="D19" i="2" l="1"/>
  <c r="E19" i="2" l="1"/>
  <c r="I19" i="2" l="1"/>
  <c r="H19" i="2"/>
  <c r="F19" i="2"/>
  <c r="G19" i="2" s="1"/>
  <c r="D20" i="2" l="1"/>
  <c r="E20" i="2" l="1"/>
  <c r="I20" i="2" l="1"/>
  <c r="H20" i="2"/>
  <c r="F20" i="2"/>
  <c r="G20" i="2" s="1"/>
  <c r="D21" i="2" l="1"/>
  <c r="E21" i="2" l="1"/>
  <c r="I21" i="2" l="1"/>
  <c r="H21" i="2"/>
  <c r="F21" i="2"/>
  <c r="G21" i="2" s="1"/>
  <c r="D22" i="2" l="1"/>
  <c r="E22" i="2" l="1"/>
  <c r="I22" i="2" l="1"/>
  <c r="H22" i="2"/>
  <c r="F22" i="2"/>
  <c r="G22" i="2" s="1"/>
  <c r="D23" i="2" l="1"/>
  <c r="E23" i="2" l="1"/>
  <c r="I23" i="2" l="1"/>
  <c r="H23" i="2"/>
  <c r="F23" i="2"/>
  <c r="G23" i="2" s="1"/>
  <c r="D24" i="2" l="1"/>
  <c r="E24" i="2" l="1"/>
  <c r="I24" i="2" l="1"/>
  <c r="H24" i="2"/>
  <c r="F24" i="2"/>
  <c r="G24" i="2" s="1"/>
  <c r="D25" i="2" l="1"/>
  <c r="E25" i="2" l="1"/>
  <c r="I25" i="2" l="1"/>
  <c r="H25" i="2"/>
  <c r="F25" i="2"/>
  <c r="G25" i="2" s="1"/>
  <c r="D26" i="2" l="1"/>
  <c r="E26" i="2" l="1"/>
  <c r="I26" i="2" l="1"/>
  <c r="H26" i="2"/>
  <c r="F26" i="2"/>
  <c r="G26" i="2" s="1"/>
  <c r="D27" i="2" l="1"/>
  <c r="E27" i="2" l="1"/>
  <c r="I27" i="2" l="1"/>
  <c r="H27" i="2"/>
  <c r="F27" i="2"/>
  <c r="G27" i="2" s="1"/>
  <c r="D28" i="2" l="1"/>
  <c r="E28" i="2" l="1"/>
  <c r="I28" i="2" l="1"/>
  <c r="H28" i="2"/>
  <c r="F28" i="2"/>
  <c r="G28" i="2" s="1"/>
  <c r="D29" i="2" l="1"/>
  <c r="E29" i="2" l="1"/>
  <c r="I29" i="2" l="1"/>
  <c r="H29" i="2"/>
  <c r="F29" i="2"/>
  <c r="G29" i="2" s="1"/>
  <c r="D30" i="2" l="1"/>
  <c r="E30" i="2" l="1"/>
  <c r="I30" i="2" l="1"/>
  <c r="H30" i="2"/>
  <c r="F30" i="2"/>
  <c r="G30" i="2" s="1"/>
  <c r="D31" i="2" l="1"/>
  <c r="E31" i="2" l="1"/>
  <c r="I31" i="2" l="1"/>
  <c r="H31" i="2"/>
  <c r="F31" i="2"/>
  <c r="G31" i="2" s="1"/>
  <c r="D32" i="2" l="1"/>
  <c r="E32" i="2" l="1"/>
  <c r="I32" i="2" l="1"/>
  <c r="H32" i="2"/>
  <c r="F32" i="2"/>
  <c r="G32" i="2" s="1"/>
  <c r="D33" i="2" l="1"/>
  <c r="E33" i="2" l="1"/>
  <c r="I33" i="2" l="1"/>
  <c r="H33" i="2"/>
  <c r="F33" i="2"/>
  <c r="G33" i="2" s="1"/>
  <c r="D34" i="2" l="1"/>
  <c r="E34" i="2" l="1"/>
  <c r="I34" i="2" l="1"/>
  <c r="H34" i="2"/>
  <c r="F34" i="2"/>
  <c r="G34" i="2" s="1"/>
  <c r="D35" i="2" l="1"/>
  <c r="E35" i="2" l="1"/>
  <c r="I35" i="2" l="1"/>
  <c r="H35" i="2"/>
  <c r="F35" i="2"/>
  <c r="G35" i="2" s="1"/>
  <c r="D36" i="2" l="1"/>
  <c r="E36" i="2" l="1"/>
  <c r="I36" i="2" l="1"/>
  <c r="H36" i="2"/>
  <c r="F36" i="2"/>
  <c r="G36" i="2" s="1"/>
  <c r="D37" i="2" l="1"/>
  <c r="E37" i="2" s="1"/>
  <c r="I37" i="2" l="1"/>
  <c r="H37" i="2"/>
  <c r="F37" i="2"/>
  <c r="G37" i="2" s="1"/>
  <c r="D38" i="2" l="1"/>
  <c r="E38" i="2" l="1"/>
  <c r="I38" i="2" l="1"/>
  <c r="H38" i="2"/>
  <c r="F38" i="2"/>
  <c r="G38" i="2" s="1"/>
  <c r="D39" i="2" l="1"/>
  <c r="E39" i="2" l="1"/>
  <c r="I39" i="2" l="1"/>
  <c r="H39" i="2"/>
  <c r="F39" i="2"/>
  <c r="G39" i="2" s="1"/>
  <c r="D40" i="2" l="1"/>
  <c r="E40" i="2" l="1"/>
  <c r="I40" i="2" l="1"/>
  <c r="H40" i="2"/>
  <c r="F40" i="2"/>
  <c r="G40" i="2" s="1"/>
  <c r="D41" i="2" l="1"/>
  <c r="E41" i="2" l="1"/>
  <c r="I41" i="2" l="1"/>
  <c r="H41" i="2"/>
  <c r="F41" i="2"/>
  <c r="G41" i="2" s="1"/>
  <c r="D42" i="2" l="1"/>
  <c r="E42" i="2" l="1"/>
  <c r="I42" i="2" l="1"/>
  <c r="H42" i="2"/>
  <c r="F42" i="2"/>
  <c r="G42" i="2" s="1"/>
  <c r="D43" i="2" l="1"/>
  <c r="E43" i="2" l="1"/>
  <c r="I43" i="2" l="1"/>
  <c r="H43" i="2"/>
  <c r="F43" i="2"/>
  <c r="G43" i="2" s="1"/>
  <c r="D44" i="2" l="1"/>
  <c r="E44" i="2" l="1"/>
  <c r="I44" i="2" l="1"/>
  <c r="H44" i="2"/>
  <c r="F44" i="2"/>
  <c r="G44" i="2" s="1"/>
  <c r="D45" i="2" l="1"/>
  <c r="E45" i="2" s="1"/>
  <c r="I45" i="2" l="1"/>
  <c r="H45" i="2"/>
  <c r="F45" i="2"/>
  <c r="G45" i="2" s="1"/>
  <c r="D46" i="2" l="1"/>
  <c r="E46" i="2" l="1"/>
  <c r="I46" i="2" l="1"/>
  <c r="H46" i="2"/>
  <c r="F46" i="2"/>
  <c r="G46" i="2" s="1"/>
  <c r="D47" i="2" l="1"/>
  <c r="E47" i="2" l="1"/>
  <c r="I47" i="2" l="1"/>
  <c r="H47" i="2"/>
  <c r="F47" i="2"/>
  <c r="G47" i="2" s="1"/>
  <c r="D48" i="2" l="1"/>
  <c r="E48" i="2" l="1"/>
  <c r="I48" i="2" l="1"/>
  <c r="H48" i="2"/>
  <c r="F48" i="2"/>
  <c r="G48" i="2" s="1"/>
  <c r="D49" i="2" l="1"/>
  <c r="E49" i="2" l="1"/>
  <c r="I49" i="2" l="1"/>
  <c r="H49" i="2"/>
  <c r="F49" i="2"/>
  <c r="G49" i="2" s="1"/>
  <c r="D50" i="2" l="1"/>
  <c r="E50" i="2" l="1"/>
  <c r="I50" i="2" l="1"/>
  <c r="H50" i="2"/>
  <c r="F50" i="2"/>
  <c r="G50" i="2" s="1"/>
  <c r="D51" i="2" l="1"/>
  <c r="E51" i="2" l="1"/>
  <c r="I51" i="2" l="1"/>
  <c r="H51" i="2"/>
  <c r="F51" i="2"/>
  <c r="G51" i="2" s="1"/>
  <c r="D52" i="2" l="1"/>
  <c r="E52" i="2" l="1"/>
  <c r="I52" i="2" l="1"/>
  <c r="H52" i="2"/>
  <c r="F52" i="2"/>
  <c r="G52" i="2" s="1"/>
  <c r="D53" i="2" l="1"/>
  <c r="E53" i="2" l="1"/>
  <c r="I53" i="2" s="1"/>
  <c r="H53" i="2" l="1"/>
  <c r="D54" i="2" s="1"/>
  <c r="F53" i="2"/>
  <c r="G53" i="2" s="1"/>
  <c r="E54" i="2" l="1"/>
  <c r="I54" i="2" l="1"/>
  <c r="H54" i="2"/>
  <c r="F54" i="2"/>
  <c r="G54" i="2" s="1"/>
  <c r="D55" i="2" l="1"/>
  <c r="E55" i="2" l="1"/>
  <c r="I55" i="2" l="1"/>
  <c r="H55" i="2"/>
  <c r="F55" i="2"/>
  <c r="G55" i="2" s="1"/>
  <c r="D56" i="2" l="1"/>
  <c r="E56" i="2" l="1"/>
  <c r="I56" i="2" l="1"/>
  <c r="H56" i="2"/>
  <c r="F56" i="2"/>
  <c r="G56" i="2" s="1"/>
  <c r="D57" i="2" l="1"/>
  <c r="E57" i="2" l="1"/>
  <c r="I57" i="2" l="1"/>
  <c r="H57" i="2"/>
  <c r="F57" i="2"/>
  <c r="G57" i="2" s="1"/>
  <c r="D58" i="2" l="1"/>
  <c r="E58" i="2" l="1"/>
  <c r="I58" i="2" l="1"/>
  <c r="H58" i="2"/>
  <c r="F58" i="2"/>
  <c r="G58" i="2" s="1"/>
  <c r="D59" i="2" l="1"/>
  <c r="E59" i="2" l="1"/>
  <c r="I59" i="2" l="1"/>
  <c r="H59" i="2"/>
  <c r="F59" i="2"/>
  <c r="G59" i="2" s="1"/>
  <c r="D60" i="2" l="1"/>
  <c r="E60" i="2" l="1"/>
  <c r="I60" i="2" l="1"/>
  <c r="H60" i="2"/>
  <c r="F60" i="2"/>
  <c r="G60" i="2" s="1"/>
  <c r="D61" i="2" l="1"/>
  <c r="E61" i="2" l="1"/>
  <c r="I61" i="2" l="1"/>
  <c r="H61" i="2"/>
  <c r="F61" i="2"/>
  <c r="G61" i="2" s="1"/>
  <c r="D62" i="2" l="1"/>
  <c r="E62" i="2" l="1"/>
  <c r="I62" i="2" l="1"/>
  <c r="H62" i="2"/>
  <c r="F62" i="2"/>
  <c r="G62" i="2" s="1"/>
  <c r="D63" i="2" l="1"/>
  <c r="E63" i="2" l="1"/>
  <c r="I63" i="2" s="1"/>
  <c r="H63" i="2" l="1"/>
  <c r="D64" i="2" s="1"/>
  <c r="F63" i="2"/>
  <c r="G63" i="2" s="1"/>
  <c r="E64" i="2" l="1"/>
  <c r="I64" i="2" s="1"/>
  <c r="H64" i="2" l="1"/>
  <c r="D65" i="2" s="1"/>
  <c r="F64" i="2"/>
  <c r="G64" i="2" s="1"/>
  <c r="E65" i="2" l="1"/>
  <c r="I65" i="2" s="1"/>
  <c r="H65" i="2" l="1"/>
  <c r="D66" i="2" s="1"/>
  <c r="F65" i="2"/>
  <c r="G65" i="2" s="1"/>
  <c r="E66" i="2" l="1"/>
  <c r="I66" i="2" s="1"/>
  <c r="H66" i="2" l="1"/>
  <c r="D67" i="2" s="1"/>
  <c r="F66" i="2"/>
  <c r="G66" i="2" s="1"/>
  <c r="E67" i="2" l="1"/>
  <c r="I67" i="2" s="1"/>
  <c r="F67" i="2" l="1"/>
  <c r="G67" i="2" s="1"/>
  <c r="H67" i="2"/>
  <c r="D68" i="2" s="1"/>
  <c r="E68" i="2" l="1"/>
  <c r="I68" i="2" s="1"/>
  <c r="F68" i="2"/>
  <c r="G68" i="2" s="1"/>
  <c r="H68" i="2" l="1"/>
  <c r="D69" i="2" s="1"/>
  <c r="E69" i="2" l="1"/>
  <c r="I69" i="2" s="1"/>
  <c r="H69" i="2"/>
  <c r="D70" i="2" s="1"/>
  <c r="F69" i="2"/>
  <c r="G69" i="2" s="1"/>
  <c r="E70" i="2" l="1"/>
  <c r="I70" i="2" s="1"/>
  <c r="H70" i="2" l="1"/>
  <c r="D71" i="2" s="1"/>
  <c r="F70" i="2"/>
  <c r="G70" i="2" s="1"/>
  <c r="E71" i="2" l="1"/>
  <c r="I71" i="2" s="1"/>
  <c r="H71" i="2" l="1"/>
  <c r="D72" i="2" s="1"/>
  <c r="F71" i="2"/>
  <c r="G71" i="2" s="1"/>
  <c r="E72" i="2" l="1"/>
  <c r="I72" i="2" s="1"/>
  <c r="H72" i="2" l="1"/>
  <c r="D73" i="2" s="1"/>
  <c r="F72" i="2"/>
  <c r="G72" i="2" s="1"/>
  <c r="E73" i="2" l="1"/>
  <c r="I73" i="2" s="1"/>
  <c r="H73" i="2" l="1"/>
  <c r="D74" i="2" s="1"/>
  <c r="F73" i="2"/>
  <c r="G73" i="2" s="1"/>
  <c r="E74" i="2" l="1"/>
  <c r="I74" i="2" s="1"/>
  <c r="H74" i="2" l="1"/>
  <c r="F74" i="2"/>
  <c r="G74" i="2" s="1"/>
  <c r="D75" i="2" l="1"/>
  <c r="E75" i="2" l="1"/>
  <c r="I75" i="2" l="1"/>
  <c r="H75" i="2"/>
  <c r="F75" i="2"/>
  <c r="G75" i="2" s="1"/>
  <c r="D76" i="2" l="1"/>
  <c r="E76" i="2" s="1"/>
  <c r="I76" i="2" s="1"/>
  <c r="H76" i="2" l="1"/>
  <c r="F76" i="2"/>
  <c r="G76" i="2" s="1"/>
  <c r="D77" i="2" l="1"/>
  <c r="E77" i="2" l="1"/>
  <c r="I77" i="2" l="1"/>
  <c r="H77" i="2"/>
  <c r="F77" i="2"/>
  <c r="G77" i="2" s="1"/>
  <c r="D78" i="2" l="1"/>
  <c r="E78" i="2" l="1"/>
  <c r="I78" i="2" l="1"/>
  <c r="H78" i="2"/>
  <c r="F78" i="2"/>
  <c r="G78" i="2" s="1"/>
  <c r="D79" i="2" l="1"/>
  <c r="E79" i="2" l="1"/>
  <c r="I79" i="2" l="1"/>
  <c r="H79" i="2"/>
  <c r="F79" i="2"/>
  <c r="G79" i="2" s="1"/>
  <c r="D80" i="2" l="1"/>
  <c r="E80" i="2" l="1"/>
  <c r="I80" i="2" l="1"/>
  <c r="H80" i="2"/>
  <c r="F80" i="2"/>
  <c r="G80" i="2" s="1"/>
  <c r="D81" i="2" l="1"/>
  <c r="E81" i="2" s="1"/>
  <c r="H81" i="2" l="1"/>
  <c r="I81" i="2"/>
  <c r="F81" i="2"/>
  <c r="G81" i="2" s="1"/>
  <c r="D82" i="2" l="1"/>
  <c r="E82" i="2" s="1"/>
  <c r="F82" i="2" l="1"/>
  <c r="G82" i="2" s="1"/>
  <c r="H82" i="2"/>
  <c r="I82" i="2"/>
  <c r="D83" i="2" l="1"/>
  <c r="E83" i="2" s="1"/>
  <c r="I83" i="2" s="1"/>
  <c r="H83" i="2" l="1"/>
  <c r="D84" i="2" s="1"/>
  <c r="E84" i="2" s="1"/>
  <c r="F83" i="2"/>
  <c r="G83" i="2" s="1"/>
  <c r="I84" i="2" l="1"/>
  <c r="H84" i="2"/>
  <c r="D85" i="2" s="1"/>
  <c r="F84" i="2"/>
  <c r="G84" i="2" s="1"/>
  <c r="E85" i="2" l="1"/>
  <c r="I85" i="2" s="1"/>
  <c r="F85" i="2"/>
  <c r="G85" i="2" s="1"/>
  <c r="H85" i="2" l="1"/>
  <c r="D86" i="2" s="1"/>
  <c r="E86" i="2" s="1"/>
  <c r="I86" i="2" s="1"/>
  <c r="H86" i="2" l="1"/>
  <c r="F86" i="2"/>
  <c r="G86" i="2" s="1"/>
  <c r="D87" i="2" l="1"/>
  <c r="E87" i="2" s="1"/>
  <c r="I87" i="2" l="1"/>
  <c r="F87" i="2"/>
  <c r="G87" i="2" s="1"/>
  <c r="H87" i="2"/>
  <c r="D88" i="2" s="1"/>
  <c r="E88" i="2"/>
  <c r="I88" i="2" l="1"/>
  <c r="H88" i="2"/>
  <c r="F88" i="2"/>
  <c r="G88" i="2" s="1"/>
  <c r="D89" i="2" l="1"/>
  <c r="E89" i="2" s="1"/>
  <c r="I89" i="2" s="1"/>
  <c r="H89" i="2" l="1"/>
  <c r="D90" i="2" s="1"/>
  <c r="F89" i="2"/>
  <c r="G89" i="2" s="1"/>
  <c r="E90" i="2" l="1"/>
  <c r="F90" i="2" s="1"/>
  <c r="G90" i="2" s="1"/>
  <c r="I90" i="2" l="1"/>
  <c r="H90" i="2"/>
  <c r="D91" i="2" s="1"/>
  <c r="E91" i="2" l="1"/>
  <c r="I91" i="2" s="1"/>
  <c r="F91" i="2" l="1"/>
  <c r="G91" i="2" s="1"/>
  <c r="H91" i="2"/>
  <c r="D92" i="2" s="1"/>
  <c r="E92" i="2" s="1"/>
  <c r="I92" i="2" s="1"/>
  <c r="F92" i="2" l="1"/>
  <c r="G92" i="2" s="1"/>
  <c r="H92" i="2"/>
  <c r="D93" i="2" l="1"/>
  <c r="E93" i="2" s="1"/>
  <c r="I93" i="2" s="1"/>
  <c r="H93" i="2" l="1"/>
  <c r="D94" i="2" s="1"/>
  <c r="F93" i="2"/>
  <c r="G93" i="2" s="1"/>
  <c r="E94" i="2" l="1"/>
  <c r="I94" i="2" s="1"/>
  <c r="F94" i="2" l="1"/>
  <c r="G94" i="2" s="1"/>
  <c r="H94" i="2"/>
  <c r="D95" i="2" s="1"/>
  <c r="E95" i="2" l="1"/>
  <c r="I95" i="2" s="1"/>
  <c r="H95" i="2"/>
  <c r="D96" i="2" s="1"/>
  <c r="E96" i="2" s="1"/>
  <c r="I96" i="2" s="1"/>
  <c r="F95" i="2" l="1"/>
  <c r="H96" i="2"/>
  <c r="F96" i="2" l="1"/>
  <c r="G96" i="2" s="1"/>
  <c r="G95" i="2"/>
  <c r="D97" i="2"/>
  <c r="E97" i="2" s="1"/>
  <c r="I97" i="2" s="1"/>
  <c r="H97" i="2" l="1"/>
  <c r="F97" i="2"/>
  <c r="G97" i="2" s="1"/>
  <c r="D98" i="2" l="1"/>
  <c r="E98" i="2" s="1"/>
  <c r="I98" i="2" s="1"/>
  <c r="H98" i="2" l="1"/>
  <c r="D99" i="2" s="1"/>
  <c r="F98" i="2"/>
  <c r="G98" i="2" s="1"/>
  <c r="E99" i="2" l="1"/>
  <c r="I99" i="2" s="1"/>
  <c r="H99" i="2" l="1"/>
  <c r="D100" i="2" s="1"/>
  <c r="F99" i="2"/>
  <c r="G99" i="2" s="1"/>
  <c r="E100" i="2" l="1"/>
  <c r="I100" i="2" s="1"/>
  <c r="F100" i="2" l="1"/>
  <c r="G100" i="2" s="1"/>
  <c r="H100" i="2"/>
  <c r="D101" i="2" l="1"/>
  <c r="E101" i="2" l="1"/>
  <c r="F101" i="2" s="1"/>
  <c r="G101" i="2" s="1"/>
  <c r="H101" i="2" l="1"/>
  <c r="I101" i="2"/>
  <c r="D102" i="2"/>
  <c r="E102" i="2" s="1"/>
  <c r="I102" i="2" l="1"/>
  <c r="H102" i="2"/>
  <c r="D103" i="2" s="1"/>
  <c r="F102" i="2"/>
  <c r="G102" i="2" s="1"/>
  <c r="E103" i="2" l="1"/>
  <c r="F103" i="2" s="1"/>
  <c r="G103" i="2" s="1"/>
  <c r="I103" i="2"/>
  <c r="H103" i="2"/>
  <c r="D104" i="2" l="1"/>
  <c r="E104" i="2" l="1"/>
  <c r="F104" i="2" s="1"/>
  <c r="G104" i="2" s="1"/>
  <c r="I104" i="2" l="1"/>
  <c r="H104" i="2"/>
  <c r="D105" i="2" l="1"/>
  <c r="E105" i="2" s="1"/>
  <c r="I105" i="2" l="1"/>
  <c r="H105" i="2"/>
  <c r="F105" i="2"/>
  <c r="G105" i="2" s="1"/>
  <c r="D106" i="2" l="1"/>
  <c r="E106" i="2" l="1"/>
  <c r="I106" i="2" l="1"/>
  <c r="H106" i="2"/>
  <c r="D107" i="2" s="1"/>
  <c r="E107" i="2" s="1"/>
  <c r="F106" i="2"/>
  <c r="F107" i="2" l="1"/>
  <c r="G107" i="2" s="1"/>
  <c r="G106" i="2"/>
  <c r="H107" i="2"/>
  <c r="D108" i="2" s="1"/>
  <c r="E108" i="2" s="1"/>
  <c r="I107" i="2"/>
  <c r="I108" i="2" l="1"/>
  <c r="H108" i="2"/>
  <c r="F108" i="2"/>
  <c r="G108" i="2" s="1"/>
  <c r="D109" i="2" l="1"/>
  <c r="E109" i="2" s="1"/>
  <c r="I109" i="2" s="1"/>
  <c r="H109" i="2" l="1"/>
  <c r="D110" i="2" s="1"/>
  <c r="F109" i="2"/>
  <c r="G109" i="2" s="1"/>
  <c r="E110" i="2" l="1"/>
  <c r="H110" i="2" s="1"/>
  <c r="I110" i="2" l="1"/>
  <c r="F110" i="2"/>
  <c r="G110" i="2" s="1"/>
  <c r="D111" i="2"/>
  <c r="E111" i="2"/>
  <c r="I111" i="2" l="1"/>
  <c r="F111" i="2"/>
  <c r="G111" i="2" s="1"/>
  <c r="H111" i="2"/>
  <c r="D112" i="2" s="1"/>
  <c r="E112" i="2" l="1"/>
  <c r="H112" i="2" s="1"/>
  <c r="D113" i="2" s="1"/>
  <c r="E113" i="2" s="1"/>
  <c r="H113" i="2" s="1"/>
  <c r="I112" i="2" l="1"/>
  <c r="F112" i="2"/>
  <c r="G112" i="2" s="1"/>
  <c r="D114" i="2"/>
  <c r="E114" i="2" s="1"/>
  <c r="F113" i="2"/>
  <c r="G113" i="2" s="1"/>
  <c r="I113" i="2"/>
  <c r="I114" i="2" l="1"/>
  <c r="F114" i="2"/>
  <c r="G114" i="2" s="1"/>
  <c r="H114" i="2"/>
  <c r="D115" i="2" l="1"/>
  <c r="E115" i="2" s="1"/>
  <c r="I115" i="2" l="1"/>
  <c r="H115" i="2"/>
  <c r="F115" i="2"/>
  <c r="G115" i="2" s="1"/>
  <c r="D116" i="2" l="1"/>
  <c r="E116" i="2" s="1"/>
  <c r="F116" i="2" l="1"/>
  <c r="G116" i="2" s="1"/>
  <c r="I116" i="2"/>
  <c r="H116" i="2"/>
  <c r="D117" i="2" s="1"/>
  <c r="E117" i="2" l="1"/>
  <c r="I117" i="2" s="1"/>
  <c r="H117" i="2"/>
  <c r="D118" i="2" s="1"/>
  <c r="F117" i="2"/>
  <c r="G117" i="2" s="1"/>
  <c r="E118" i="2" l="1"/>
  <c r="I118" i="2" s="1"/>
  <c r="H118" i="2"/>
  <c r="F118" i="2" l="1"/>
  <c r="G118" i="2" s="1"/>
  <c r="D119" i="2"/>
  <c r="E119" i="2" s="1"/>
  <c r="I119" i="2" s="1"/>
  <c r="F119" i="2" l="1"/>
  <c r="G119" i="2" s="1"/>
  <c r="H119" i="2"/>
  <c r="D120" i="2" l="1"/>
  <c r="E120" i="2" s="1"/>
  <c r="I120" i="2" s="1"/>
  <c r="F120" i="2" l="1"/>
  <c r="G120" i="2" s="1"/>
  <c r="H120" i="2"/>
  <c r="D121" i="2" l="1"/>
  <c r="E121" i="2" l="1"/>
  <c r="F121" i="2" s="1"/>
  <c r="G121" i="2" s="1"/>
  <c r="I121" i="2" l="1"/>
  <c r="H121" i="2"/>
  <c r="D122" i="2" l="1"/>
  <c r="E122" i="2" s="1"/>
  <c r="I122" i="2" s="1"/>
  <c r="F122" i="2" l="1"/>
  <c r="G122" i="2" s="1"/>
  <c r="H122" i="2"/>
  <c r="D123" i="2" l="1"/>
  <c r="E123" i="2" l="1"/>
  <c r="F123" i="2" s="1"/>
  <c r="G123" i="2" s="1"/>
  <c r="I123" i="2" l="1"/>
  <c r="H123" i="2"/>
  <c r="D124" i="2" l="1"/>
  <c r="E124" i="2" s="1"/>
  <c r="I124" i="2" s="1"/>
  <c r="F124" i="2" l="1"/>
  <c r="G124" i="2" s="1"/>
  <c r="H124" i="2"/>
  <c r="D125" i="2" l="1"/>
  <c r="E125" i="2" s="1"/>
  <c r="I125" i="2" s="1"/>
  <c r="F125" i="2" l="1"/>
  <c r="G125" i="2" s="1"/>
  <c r="H125" i="2"/>
  <c r="D126" i="2" l="1"/>
  <c r="E126" i="2" s="1"/>
  <c r="I126" i="2" s="1"/>
  <c r="F126" i="2" l="1"/>
  <c r="G126" i="2" s="1"/>
  <c r="H126" i="2"/>
  <c r="D127" i="2" l="1"/>
  <c r="E127" i="2" s="1"/>
  <c r="F127" i="2" l="1"/>
  <c r="G127" i="2" s="1"/>
  <c r="I127" i="2"/>
  <c r="H127" i="2"/>
  <c r="D128" i="2" l="1"/>
  <c r="E128" i="2" s="1"/>
  <c r="I128" i="2" l="1"/>
  <c r="H128" i="2"/>
  <c r="D129" i="2" s="1"/>
  <c r="E129" i="2" s="1"/>
  <c r="I129" i="2" s="1"/>
  <c r="F128" i="2"/>
  <c r="G128" i="2" s="1"/>
  <c r="F129" i="2" l="1"/>
  <c r="G129" i="2" s="1"/>
  <c r="H129" i="2"/>
  <c r="D130" i="2" l="1"/>
  <c r="E130" i="2"/>
  <c r="I130" i="2" s="1"/>
  <c r="F130" i="2" l="1"/>
  <c r="G130" i="2" s="1"/>
  <c r="H130" i="2"/>
  <c r="D131" i="2" l="1"/>
  <c r="E131" i="2" s="1"/>
  <c r="H131" i="2" s="1"/>
  <c r="D132" i="2" l="1"/>
  <c r="E132" i="2" s="1"/>
  <c r="F131" i="2"/>
  <c r="G131" i="2" s="1"/>
  <c r="I131" i="2"/>
  <c r="F132" i="2" l="1"/>
  <c r="G132" i="2" s="1"/>
  <c r="I132" i="2"/>
  <c r="H132" i="2"/>
  <c r="D133" i="2" l="1"/>
  <c r="E133" i="2" l="1"/>
  <c r="I133" i="2" s="1"/>
  <c r="F133" i="2" l="1"/>
  <c r="G133" i="2" s="1"/>
  <c r="H133" i="2"/>
  <c r="D134" i="2" s="1"/>
  <c r="E134" i="2" l="1"/>
  <c r="I134" i="2" s="1"/>
  <c r="H134" i="2" l="1"/>
  <c r="E135" i="2" s="1"/>
  <c r="I135" i="2" s="1"/>
  <c r="F134" i="2"/>
  <c r="G134" i="2" s="1"/>
  <c r="D135" i="2"/>
  <c r="F135" i="2" l="1"/>
  <c r="G135" i="2" s="1"/>
  <c r="H135" i="2"/>
  <c r="D136" i="2" l="1"/>
  <c r="E136" i="2" l="1"/>
  <c r="F136" i="2" s="1"/>
  <c r="G136" i="2" s="1"/>
  <c r="I136" i="2" l="1"/>
  <c r="H136" i="2"/>
  <c r="D137" i="2" l="1"/>
  <c r="E137" i="2"/>
  <c r="F137" i="2" l="1"/>
  <c r="G137" i="2" s="1"/>
  <c r="I137" i="2"/>
  <c r="H137" i="2"/>
  <c r="D138" i="2" l="1"/>
  <c r="E138" i="2" s="1"/>
  <c r="F138" i="2" l="1"/>
  <c r="G138" i="2" s="1"/>
  <c r="I138" i="2"/>
  <c r="H138" i="2"/>
  <c r="D139" i="2" l="1"/>
  <c r="E139" i="2" s="1"/>
  <c r="I139" i="2" s="1"/>
  <c r="F139" i="2" l="1"/>
  <c r="G139" i="2" s="1"/>
  <c r="H139" i="2"/>
  <c r="D140" i="2" l="1"/>
  <c r="E140" i="2" s="1"/>
  <c r="I140" i="2" s="1"/>
  <c r="F140" i="2" l="1"/>
  <c r="G140" i="2" s="1"/>
  <c r="H140" i="2"/>
  <c r="D141" i="2" l="1"/>
  <c r="E141" i="2" s="1"/>
  <c r="I141" i="2" s="1"/>
  <c r="F141" i="2" l="1"/>
  <c r="G141" i="2" s="1"/>
  <c r="H141" i="2"/>
  <c r="D142" i="2" l="1"/>
  <c r="E142" i="2" s="1"/>
  <c r="I142" i="2" s="1"/>
  <c r="F142" i="2" l="1"/>
  <c r="G142" i="2" s="1"/>
  <c r="H142" i="2"/>
  <c r="D143" i="2" l="1"/>
  <c r="E143" i="2" l="1"/>
  <c r="F143" i="2" s="1"/>
  <c r="G143" i="2" s="1"/>
  <c r="I143" i="2" l="1"/>
  <c r="H143" i="2"/>
  <c r="D144" i="2" l="1"/>
  <c r="E144" i="2" l="1"/>
  <c r="F144" i="2" s="1"/>
  <c r="G144" i="2" s="1"/>
  <c r="I144" i="2" l="1"/>
  <c r="H144" i="2"/>
  <c r="D145" i="2" l="1"/>
  <c r="E145" i="2" s="1"/>
  <c r="I145" i="2" l="1"/>
  <c r="H145" i="2"/>
  <c r="D146" i="2"/>
  <c r="E146" i="2"/>
  <c r="F145" i="2"/>
  <c r="G145" i="2" s="1"/>
  <c r="I146" i="2" l="1"/>
  <c r="F146" i="2"/>
  <c r="G146" i="2" s="1"/>
  <c r="H146" i="2"/>
  <c r="D147" i="2" l="1"/>
  <c r="E147" i="2" s="1"/>
  <c r="I147" i="2" s="1"/>
  <c r="F147" i="2" l="1"/>
  <c r="G147" i="2" s="1"/>
  <c r="H147" i="2"/>
  <c r="D148" i="2" l="1"/>
  <c r="E148" i="2" l="1"/>
  <c r="I148" i="2" l="1"/>
  <c r="H148" i="2"/>
  <c r="F148" i="2"/>
  <c r="G148" i="2" s="1"/>
  <c r="D149" i="2" l="1"/>
  <c r="E149" i="2" s="1"/>
  <c r="I149" i="2" l="1"/>
  <c r="H149" i="2"/>
  <c r="F149" i="2"/>
  <c r="G149" i="2" s="1"/>
  <c r="D150" i="2" l="1"/>
  <c r="E150" i="2" s="1"/>
  <c r="I150" i="2" l="1"/>
  <c r="H150" i="2"/>
  <c r="F150" i="2"/>
  <c r="G150" i="2" s="1"/>
  <c r="D151" i="2"/>
  <c r="E151" i="2"/>
  <c r="H151" i="2" s="1"/>
  <c r="I151" i="2" l="1"/>
  <c r="F151" i="2"/>
  <c r="G151" i="2" s="1"/>
  <c r="D152" i="2"/>
  <c r="E152" i="2" l="1"/>
  <c r="F152" i="2" s="1"/>
  <c r="G152" i="2" s="1"/>
  <c r="I152" i="2" l="1"/>
  <c r="H152" i="2"/>
  <c r="D153" i="2" l="1"/>
  <c r="E153" i="2" l="1"/>
  <c r="F153" i="2" s="1"/>
  <c r="G153" i="2" s="1"/>
  <c r="I153" i="2" l="1"/>
  <c r="H153" i="2"/>
  <c r="D154" i="2" l="1"/>
  <c r="E154" i="2" s="1"/>
  <c r="I154" i="2" l="1"/>
  <c r="H154" i="2"/>
  <c r="D155" i="2" s="1"/>
  <c r="E155" i="2" s="1"/>
  <c r="F154" i="2"/>
  <c r="G154" i="2" s="1"/>
  <c r="G155" i="2" l="1"/>
  <c r="F155" i="2"/>
  <c r="I155" i="2"/>
  <c r="H155" i="2"/>
  <c r="D156" i="2" l="1"/>
  <c r="E156" i="2"/>
  <c r="I156" i="2" s="1"/>
  <c r="H156" i="2" l="1"/>
  <c r="D157" i="2" s="1"/>
  <c r="E157" i="2" s="1"/>
  <c r="F156" i="2"/>
  <c r="G156" i="2" s="1"/>
  <c r="I157" i="2" l="1"/>
  <c r="H157" i="2"/>
  <c r="F157" i="2"/>
  <c r="G157" i="2" s="1"/>
  <c r="D158" i="2" l="1"/>
  <c r="E158" i="2" l="1"/>
  <c r="I158" i="2" l="1"/>
  <c r="H158" i="2"/>
  <c r="F158" i="2"/>
  <c r="G158" i="2" s="1"/>
  <c r="D159" i="2" l="1"/>
  <c r="E159" i="2" s="1"/>
  <c r="H159" i="2" s="1"/>
  <c r="D160" i="2" l="1"/>
  <c r="E160" i="2"/>
  <c r="H160" i="2" s="1"/>
  <c r="F159" i="2"/>
  <c r="I159" i="2"/>
  <c r="F160" i="2" l="1"/>
  <c r="G159" i="2"/>
  <c r="G160" i="2" s="1"/>
  <c r="D161" i="2"/>
  <c r="E161" i="2" s="1"/>
  <c r="H161" i="2" s="1"/>
  <c r="I160" i="2"/>
  <c r="F161" i="2" l="1"/>
  <c r="G161" i="2" s="1"/>
  <c r="D162" i="2"/>
  <c r="I161" i="2"/>
  <c r="E162" i="2" l="1"/>
  <c r="I162" i="2" l="1"/>
  <c r="H162" i="2"/>
  <c r="F162" i="2"/>
  <c r="G162" i="2" s="1"/>
  <c r="D163" i="2" l="1"/>
  <c r="E163" i="2" l="1"/>
  <c r="I163" i="2" s="1"/>
  <c r="H163" i="2" l="1"/>
  <c r="D164" i="2" s="1"/>
  <c r="E164" i="2" s="1"/>
  <c r="F163" i="2"/>
  <c r="G163" i="2" s="1"/>
  <c r="I164" i="2" l="1"/>
  <c r="H164" i="2"/>
  <c r="D165" i="2" s="1"/>
  <c r="E165" i="2" s="1"/>
  <c r="F164" i="2"/>
  <c r="G164" i="2" s="1"/>
  <c r="I165" i="2" l="1"/>
  <c r="H165" i="2"/>
  <c r="D166" i="2" s="1"/>
  <c r="F165" i="2"/>
  <c r="G165" i="2" s="1"/>
  <c r="E166" i="2" l="1"/>
  <c r="I166" i="2" l="1"/>
  <c r="H166" i="2"/>
  <c r="F166" i="2"/>
  <c r="G166" i="2" s="1"/>
  <c r="D167" i="2" l="1"/>
  <c r="E167" i="2" s="1"/>
  <c r="I167" i="2" s="1"/>
  <c r="F167" i="2" l="1"/>
  <c r="G167" i="2" s="1"/>
  <c r="H167" i="2"/>
  <c r="D168" i="2" l="1"/>
  <c r="E168" i="2" s="1"/>
  <c r="I168" i="2" l="1"/>
  <c r="H168" i="2"/>
  <c r="F168" i="2"/>
  <c r="G168" i="2" s="1"/>
  <c r="D169" i="2" l="1"/>
  <c r="E169" i="2" s="1"/>
  <c r="I169" i="2" l="1"/>
  <c r="H169" i="2"/>
  <c r="F169" i="2"/>
  <c r="G169" i="2" s="1"/>
  <c r="D170" i="2"/>
  <c r="E170" i="2"/>
  <c r="H170" i="2" s="1"/>
  <c r="I170" i="2" l="1"/>
  <c r="F170" i="2"/>
  <c r="G170" i="2" s="1"/>
  <c r="D171" i="2"/>
  <c r="E171" i="2" s="1"/>
  <c r="I171" i="2" l="1"/>
  <c r="H171" i="2"/>
  <c r="F171" i="2"/>
  <c r="G171" i="2" s="1"/>
  <c r="D172" i="2" l="1"/>
  <c r="E172" i="2" s="1"/>
  <c r="I172" i="2" l="1"/>
  <c r="H172" i="2"/>
  <c r="F172" i="2"/>
  <c r="G172" i="2" s="1"/>
  <c r="D173" i="2" l="1"/>
  <c r="E173" i="2" l="1"/>
  <c r="I173" i="2" l="1"/>
  <c r="H173" i="2"/>
  <c r="D174" i="2" s="1"/>
  <c r="E174" i="2" s="1"/>
  <c r="F173" i="2"/>
  <c r="F174" i="2" l="1"/>
  <c r="G173" i="2"/>
  <c r="G174" i="2" s="1"/>
  <c r="I174" i="2"/>
  <c r="H174" i="2"/>
  <c r="D175" i="2"/>
  <c r="E175" i="2" s="1"/>
  <c r="I175" i="2" l="1"/>
  <c r="F175" i="2"/>
  <c r="G175" i="2" s="1"/>
  <c r="H175" i="2"/>
  <c r="D176" i="2" l="1"/>
  <c r="E176" i="2" l="1"/>
  <c r="I176" i="2" l="1"/>
  <c r="H176" i="2"/>
  <c r="F176" i="2"/>
  <c r="G176" i="2" s="1"/>
  <c r="D177" i="2" l="1"/>
  <c r="E177" i="2" l="1"/>
  <c r="F177" i="2" s="1"/>
  <c r="G177" i="2" s="1"/>
  <c r="I177" i="2" l="1"/>
  <c r="H177" i="2"/>
  <c r="D178" i="2" l="1"/>
  <c r="E178" i="2" l="1"/>
  <c r="I178" i="2" l="1"/>
  <c r="H178" i="2"/>
  <c r="F178" i="2"/>
  <c r="G178" i="2" s="1"/>
  <c r="D179" i="2" l="1"/>
  <c r="E179" i="2" s="1"/>
  <c r="I179" i="2" l="1"/>
  <c r="H179" i="2"/>
  <c r="D180" i="2" s="1"/>
  <c r="E180" i="2" s="1"/>
  <c r="F179" i="2"/>
  <c r="G179" i="2" s="1"/>
  <c r="G180" i="2" l="1"/>
  <c r="I180" i="2"/>
  <c r="H180" i="2"/>
  <c r="F180" i="2"/>
  <c r="D181" i="2" l="1"/>
  <c r="E181" i="2" l="1"/>
  <c r="F181" i="2" s="1"/>
  <c r="G181" i="2" s="1"/>
  <c r="I181" i="2" l="1"/>
  <c r="H181" i="2"/>
  <c r="D182" i="2" l="1"/>
  <c r="E182" i="2" l="1"/>
  <c r="F182" i="2" s="1"/>
  <c r="G182" i="2" s="1"/>
  <c r="I182" i="2" l="1"/>
  <c r="H182" i="2"/>
  <c r="D183" i="2" l="1"/>
  <c r="E183" i="2" s="1"/>
  <c r="I183" i="2" l="1"/>
  <c r="H183" i="2"/>
  <c r="F183" i="2"/>
  <c r="G183" i="2" s="1"/>
  <c r="D184" i="2"/>
  <c r="E184" i="2" s="1"/>
  <c r="G184" i="2" l="1"/>
  <c r="I184" i="2"/>
  <c r="H184" i="2"/>
  <c r="F184" i="2"/>
  <c r="D185" i="2"/>
  <c r="E185" i="2"/>
  <c r="I185" i="2" l="1"/>
  <c r="H185" i="2"/>
  <c r="D186" i="2" s="1"/>
  <c r="F185" i="2"/>
  <c r="G185" i="2" s="1"/>
  <c r="E186" i="2" l="1"/>
  <c r="I186" i="2" s="1"/>
  <c r="H186" i="2" l="1"/>
  <c r="F186" i="2"/>
  <c r="G186" i="2" s="1"/>
  <c r="D187" i="2" l="1"/>
  <c r="E187" i="2" l="1"/>
  <c r="I187" i="2" s="1"/>
  <c r="H187" i="2" l="1"/>
  <c r="F187" i="2"/>
  <c r="G187" i="2" s="1"/>
  <c r="D188" i="2"/>
  <c r="E188" i="2"/>
  <c r="I188" i="2" s="1"/>
  <c r="H188" i="2" l="1"/>
  <c r="F188" i="2"/>
  <c r="G188" i="2" s="1"/>
  <c r="D189" i="2" l="1"/>
  <c r="E189" i="2" s="1"/>
  <c r="I189" i="2" l="1"/>
  <c r="H189" i="2"/>
  <c r="F189" i="2"/>
  <c r="G189" i="2" s="1"/>
  <c r="D190" i="2"/>
  <c r="E190" i="2" s="1"/>
  <c r="I190" i="2" l="1"/>
  <c r="F190" i="2"/>
  <c r="G190" i="2" s="1"/>
  <c r="H190" i="2"/>
  <c r="D191" i="2" l="1"/>
  <c r="E191" i="2" s="1"/>
  <c r="I191" i="2" l="1"/>
  <c r="H191" i="2"/>
  <c r="F191" i="2"/>
  <c r="G191" i="2" s="1"/>
  <c r="D192" i="2" l="1"/>
  <c r="E192" i="2"/>
  <c r="I192" i="2" s="1"/>
  <c r="H192" i="2" l="1"/>
  <c r="F192" i="2"/>
  <c r="G192" i="2" s="1"/>
  <c r="D193" i="2" l="1"/>
  <c r="E193" i="2"/>
  <c r="I193" i="2" s="1"/>
  <c r="H193" i="2" l="1"/>
  <c r="D194" i="2" s="1"/>
  <c r="F193" i="2"/>
  <c r="G193" i="2" s="1"/>
  <c r="E194" i="2" l="1"/>
  <c r="I194" i="2" s="1"/>
  <c r="F194" i="2" l="1"/>
  <c r="G194" i="2" s="1"/>
  <c r="H194" i="2"/>
  <c r="D195" i="2" s="1"/>
  <c r="E195" i="2" l="1"/>
  <c r="I195" i="2" s="1"/>
  <c r="F195" i="2" l="1"/>
  <c r="G195" i="2" s="1"/>
  <c r="H195" i="2"/>
  <c r="D196" i="2" s="1"/>
  <c r="E196" i="2" l="1"/>
  <c r="I196" i="2" s="1"/>
  <c r="H196" i="2"/>
  <c r="D197" i="2" s="1"/>
  <c r="E197" i="2" s="1"/>
  <c r="I197" i="2" s="1"/>
  <c r="F196" i="2"/>
  <c r="G196" i="2" s="1"/>
  <c r="H197" i="2" l="1"/>
  <c r="F197" i="2"/>
  <c r="G197" i="2" s="1"/>
  <c r="D198" i="2" l="1"/>
  <c r="E198" i="2" s="1"/>
  <c r="I198" i="2" l="1"/>
  <c r="H198" i="2"/>
  <c r="F198" i="2"/>
  <c r="G198" i="2" s="1"/>
  <c r="D199" i="2" l="1"/>
  <c r="E199" i="2" s="1"/>
  <c r="I199" i="2" l="1"/>
  <c r="H199" i="2"/>
  <c r="F199" i="2"/>
  <c r="G199" i="2" s="1"/>
  <c r="D200" i="2" l="1"/>
  <c r="E200" i="2" l="1"/>
  <c r="I200" i="2" l="1"/>
  <c r="H200" i="2"/>
  <c r="F200" i="2"/>
  <c r="G200" i="2" s="1"/>
  <c r="D201" i="2" l="1"/>
  <c r="E201" i="2"/>
  <c r="I201" i="2" s="1"/>
  <c r="F201" i="2" l="1"/>
  <c r="G201" i="2" s="1"/>
  <c r="H201" i="2"/>
  <c r="D202" i="2" l="1"/>
  <c r="E202" i="2"/>
  <c r="I202" i="2" s="1"/>
  <c r="H202" i="2" l="1"/>
  <c r="D203" i="2" s="1"/>
  <c r="E203" i="2" s="1"/>
  <c r="F202" i="2"/>
  <c r="G202" i="2" s="1"/>
  <c r="I203" i="2" l="1"/>
  <c r="H203" i="2"/>
  <c r="F203" i="2"/>
  <c r="G203" i="2" s="1"/>
  <c r="D204" i="2" l="1"/>
  <c r="E204" i="2" s="1"/>
  <c r="I204" i="2" s="1"/>
  <c r="F204" i="2" l="1"/>
  <c r="G204" i="2" s="1"/>
  <c r="H204" i="2"/>
  <c r="D205" i="2" l="1"/>
  <c r="E205" i="2" l="1"/>
  <c r="I205" i="2" l="1"/>
  <c r="H205" i="2"/>
  <c r="F205" i="2"/>
  <c r="G205" i="2" s="1"/>
  <c r="D206" i="2" l="1"/>
  <c r="E206" i="2" s="1"/>
  <c r="I206" i="2" s="1"/>
  <c r="H206" i="2" l="1"/>
  <c r="F206" i="2"/>
  <c r="G206" i="2" s="1"/>
  <c r="D207" i="2" l="1"/>
  <c r="E207" i="2" l="1"/>
  <c r="I207" i="2" l="1"/>
  <c r="H207" i="2"/>
  <c r="F207" i="2"/>
  <c r="G207" i="2" s="1"/>
  <c r="D208" i="2" l="1"/>
  <c r="E208" i="2"/>
  <c r="I208" i="2" s="1"/>
  <c r="H208" i="2"/>
  <c r="F208" i="2" l="1"/>
  <c r="G208" i="2" s="1"/>
  <c r="D209" i="2"/>
  <c r="E209" i="2"/>
  <c r="I209" i="2" s="1"/>
  <c r="H209" i="2"/>
  <c r="D210" i="2" l="1"/>
  <c r="E210" i="2"/>
  <c r="I210" i="2" s="1"/>
  <c r="F209" i="2"/>
  <c r="G209" i="2" s="1"/>
  <c r="H210" i="2" l="1"/>
  <c r="F210" i="2"/>
  <c r="G210" i="2" s="1"/>
  <c r="D211" i="2" l="1"/>
  <c r="E211" i="2" s="1"/>
  <c r="I211" i="2" l="1"/>
  <c r="H211" i="2"/>
  <c r="D212" i="2"/>
  <c r="F211" i="2"/>
  <c r="G211" i="2" s="1"/>
  <c r="G212" i="2" l="1"/>
  <c r="E212" i="2"/>
  <c r="F212" i="2" s="1"/>
  <c r="I212" i="2" l="1"/>
  <c r="H212" i="2"/>
  <c r="D213" i="2" l="1"/>
  <c r="E213" i="2" l="1"/>
  <c r="I213" i="2" l="1"/>
  <c r="H213" i="2"/>
  <c r="F213" i="2"/>
  <c r="G213" i="2" s="1"/>
  <c r="D214" i="2" l="1"/>
  <c r="E214" i="2" s="1"/>
  <c r="I214" i="2" l="1"/>
  <c r="F214" i="2"/>
  <c r="G214" i="2" s="1"/>
  <c r="H214" i="2"/>
  <c r="D215" i="2" l="1"/>
  <c r="E215" i="2" s="1"/>
  <c r="I215" i="2" l="1"/>
  <c r="H215" i="2"/>
  <c r="F215" i="2"/>
  <c r="G215" i="2" s="1"/>
  <c r="D216" i="2" l="1"/>
  <c r="E216" i="2" s="1"/>
  <c r="I216" i="2" l="1"/>
  <c r="H216" i="2"/>
  <c r="D217" i="2" s="1"/>
  <c r="E217" i="2" s="1"/>
  <c r="F216" i="2"/>
  <c r="G216" i="2" s="1"/>
  <c r="I217" i="2" l="1"/>
  <c r="F217" i="2"/>
  <c r="G217" i="2" s="1"/>
  <c r="H217" i="2"/>
  <c r="D218" i="2" l="1"/>
  <c r="E218" i="2"/>
  <c r="I218" i="2" s="1"/>
  <c r="H218" i="2" l="1"/>
  <c r="D219" i="2" s="1"/>
  <c r="E219" i="2" s="1"/>
  <c r="F218" i="2"/>
  <c r="G218" i="2" s="1"/>
  <c r="I219" i="2" l="1"/>
  <c r="H219" i="2"/>
  <c r="F219" i="2"/>
  <c r="G219" i="2" s="1"/>
  <c r="D220" i="2"/>
  <c r="E220" i="2"/>
  <c r="I220" i="2" l="1"/>
  <c r="H220" i="2"/>
  <c r="D221" i="2"/>
  <c r="E221" i="2"/>
  <c r="I221" i="2" s="1"/>
  <c r="F220" i="2"/>
  <c r="G220" i="2" s="1"/>
  <c r="H221" i="2" l="1"/>
  <c r="D222" i="2"/>
  <c r="E222" i="2"/>
  <c r="I222" i="2" s="1"/>
  <c r="F221" i="2"/>
  <c r="G221" i="2" s="1"/>
  <c r="H222" i="2" l="1"/>
  <c r="F222" i="2"/>
  <c r="G222" i="2" s="1"/>
  <c r="D223" i="2" l="1"/>
  <c r="E223" i="2" l="1"/>
  <c r="I223" i="2" l="1"/>
  <c r="H223" i="2"/>
  <c r="F223" i="2"/>
  <c r="G223" i="2" s="1"/>
  <c r="D224" i="2" l="1"/>
  <c r="E224" i="2" l="1"/>
  <c r="I224" i="2" l="1"/>
  <c r="H224" i="2"/>
  <c r="F224" i="2"/>
  <c r="G224" i="2" s="1"/>
  <c r="D225" i="2" l="1"/>
  <c r="E225" i="2" s="1"/>
  <c r="I225" i="2" l="1"/>
  <c r="H225" i="2"/>
  <c r="F225" i="2"/>
  <c r="G225" i="2" s="1"/>
  <c r="D226" i="2" l="1"/>
  <c r="E226" i="2" s="1"/>
  <c r="I226" i="2" s="1"/>
  <c r="F226" i="2" l="1"/>
  <c r="G226" i="2" s="1"/>
  <c r="H226" i="2"/>
  <c r="D227" i="2" l="1"/>
  <c r="E227" i="2" l="1"/>
  <c r="F227" i="2" s="1"/>
  <c r="G227" i="2" s="1"/>
  <c r="I227" i="2" l="1"/>
  <c r="H227" i="2"/>
  <c r="D228" i="2" l="1"/>
  <c r="E228" i="2" s="1"/>
  <c r="I228" i="2" s="1"/>
  <c r="H228" i="2" l="1"/>
  <c r="F228" i="2"/>
  <c r="G228" i="2" s="1"/>
  <c r="D229" i="2" l="1"/>
  <c r="E229" i="2" s="1"/>
  <c r="I229" i="2" s="1"/>
  <c r="F229" i="2" l="1"/>
  <c r="G229" i="2" s="1"/>
  <c r="H229" i="2"/>
  <c r="D230" i="2" l="1"/>
  <c r="E230" i="2"/>
  <c r="I230" i="2" s="1"/>
  <c r="H230" i="2"/>
  <c r="D231" i="2" l="1"/>
  <c r="E231" i="2" s="1"/>
  <c r="F230" i="2"/>
  <c r="G230" i="2" s="1"/>
  <c r="I231" i="2" l="1"/>
  <c r="H231" i="2"/>
  <c r="F231" i="2"/>
  <c r="G231" i="2" s="1"/>
  <c r="D232" i="2" l="1"/>
  <c r="E232" i="2" s="1"/>
  <c r="I232" i="2" l="1"/>
  <c r="H232" i="2"/>
  <c r="F232" i="2"/>
  <c r="G232" i="2" s="1"/>
  <c r="D233" i="2"/>
  <c r="E233" i="2"/>
  <c r="I233" i="2" s="1"/>
  <c r="H233" i="2"/>
  <c r="F233" i="2" l="1"/>
  <c r="G233" i="2" s="1"/>
  <c r="D234" i="2"/>
  <c r="E234" i="2"/>
  <c r="I234" i="2" s="1"/>
  <c r="H234" i="2" l="1"/>
  <c r="F234" i="2"/>
  <c r="G234" i="2" s="1"/>
  <c r="D235" i="2" l="1"/>
  <c r="E235" i="2"/>
  <c r="I235" i="2" s="1"/>
  <c r="F235" i="2" l="1"/>
  <c r="G235" i="2" s="1"/>
  <c r="H235" i="2"/>
  <c r="D236" i="2" s="1"/>
  <c r="E236" i="2" l="1"/>
  <c r="I236" i="2" l="1"/>
  <c r="H236" i="2"/>
  <c r="F236" i="2"/>
  <c r="G236" i="2" s="1"/>
  <c r="E237" i="2" l="1"/>
  <c r="I237" i="2" s="1"/>
  <c r="D237" i="2"/>
  <c r="H237" i="2" l="1"/>
  <c r="F237" i="2"/>
  <c r="G237" i="2" s="1"/>
  <c r="D238" i="2" l="1"/>
  <c r="E238" i="2" l="1"/>
  <c r="F238" i="2" s="1"/>
  <c r="G238" i="2" s="1"/>
  <c r="I238" i="2" l="1"/>
  <c r="H238" i="2"/>
  <c r="D239" i="2" l="1"/>
  <c r="E239" i="2" l="1"/>
  <c r="I239" i="2" l="1"/>
  <c r="H239" i="2"/>
  <c r="F239" i="2"/>
  <c r="G239" i="2" s="1"/>
  <c r="D240" i="2" l="1"/>
  <c r="E240" i="2"/>
  <c r="I240" i="2" s="1"/>
  <c r="H240" i="2" l="1"/>
  <c r="F240" i="2"/>
  <c r="G240" i="2" l="1"/>
  <c r="D241" i="2"/>
  <c r="F241" i="2" s="1"/>
  <c r="E241" i="2"/>
  <c r="I241" i="2" l="1"/>
  <c r="H241" i="2"/>
  <c r="D242" i="2" s="1"/>
  <c r="G241" i="2"/>
  <c r="G242" i="2" s="1"/>
  <c r="E242" i="2"/>
  <c r="F242" i="2" s="1"/>
  <c r="I242" i="2" l="1"/>
  <c r="H242" i="2"/>
  <c r="D243" i="2" l="1"/>
  <c r="E243" i="2" l="1"/>
  <c r="I243" i="2" l="1"/>
  <c r="H243" i="2"/>
  <c r="F243" i="2"/>
  <c r="G243" i="2" s="1"/>
  <c r="D244" i="2" l="1"/>
  <c r="E244" i="2" l="1"/>
  <c r="I244" i="2" l="1"/>
  <c r="H244" i="2"/>
  <c r="F244" i="2"/>
  <c r="G244" i="2" s="1"/>
  <c r="D245" i="2" l="1"/>
  <c r="E245" i="2"/>
  <c r="I245" i="2" s="1"/>
  <c r="H245" i="2"/>
  <c r="D246" i="2" l="1"/>
  <c r="E246" i="2" s="1"/>
  <c r="F245" i="2"/>
  <c r="G245" i="2" s="1"/>
  <c r="I246" i="2" l="1"/>
  <c r="H246" i="2"/>
  <c r="F246" i="2"/>
  <c r="G246" i="2" s="1"/>
  <c r="D247" i="2" l="1"/>
  <c r="E247" i="2" s="1"/>
  <c r="I247" i="2" s="1"/>
  <c r="H247" i="2" l="1"/>
  <c r="F247" i="2"/>
  <c r="G247" i="2" s="1"/>
  <c r="D248" i="2" l="1"/>
  <c r="E248" i="2" s="1"/>
  <c r="I248" i="2" l="1"/>
  <c r="H248" i="2"/>
  <c r="F248" i="2"/>
  <c r="G248" i="2" s="1"/>
  <c r="D249" i="2" l="1"/>
  <c r="E249" i="2" l="1"/>
  <c r="I249" i="2" l="1"/>
  <c r="H249" i="2"/>
  <c r="F249" i="2"/>
  <c r="G249" i="2" s="1"/>
  <c r="D250" i="2" l="1"/>
  <c r="E250" i="2"/>
  <c r="I250" i="2" s="1"/>
  <c r="F250" i="2" l="1"/>
  <c r="G250" i="2" s="1"/>
  <c r="H250" i="2"/>
  <c r="D251" i="2" l="1"/>
  <c r="E251" i="2"/>
  <c r="I251" i="2" s="1"/>
  <c r="H251" i="2"/>
  <c r="D252" i="2" l="1"/>
  <c r="E252" i="2" s="1"/>
  <c r="F251" i="2"/>
  <c r="G251" i="2" s="1"/>
  <c r="G252" i="2" l="1"/>
  <c r="I252" i="2"/>
  <c r="H252" i="2"/>
  <c r="F252" i="2"/>
  <c r="D253" i="2" l="1"/>
  <c r="E253" i="2"/>
  <c r="I253" i="2" s="1"/>
  <c r="H253" i="2"/>
  <c r="D254" i="2" l="1"/>
  <c r="F253" i="2"/>
  <c r="G253" i="2" s="1"/>
  <c r="E254" i="2" l="1"/>
  <c r="F254" i="2" s="1"/>
  <c r="G254" i="2" s="1"/>
  <c r="I254" i="2" l="1"/>
  <c r="H254" i="2"/>
  <c r="D255" i="2" l="1"/>
  <c r="E255" i="2"/>
  <c r="I255" i="2" s="1"/>
  <c r="H255" i="2"/>
  <c r="D256" i="2" l="1"/>
  <c r="E256" i="2" s="1"/>
  <c r="F255" i="2"/>
  <c r="G255" i="2" s="1"/>
  <c r="I256" i="2" l="1"/>
  <c r="H256" i="2"/>
  <c r="F256" i="2"/>
  <c r="G256" i="2" s="1"/>
  <c r="D257" i="2" l="1"/>
  <c r="E257" i="2"/>
  <c r="I257" i="2" s="1"/>
  <c r="F257" i="2" l="1"/>
  <c r="G257" i="2" s="1"/>
  <c r="H257" i="2"/>
  <c r="D258" i="2" s="1"/>
  <c r="E258" i="2" s="1"/>
  <c r="G258" i="2" l="1"/>
  <c r="I258" i="2"/>
  <c r="H258" i="2"/>
  <c r="F258" i="2"/>
  <c r="D259" i="2" l="1"/>
  <c r="E259" i="2"/>
  <c r="I259" i="2" s="1"/>
  <c r="H259" i="2" l="1"/>
  <c r="F259" i="2"/>
  <c r="G259" i="2" s="1"/>
  <c r="D260" i="2" l="1"/>
  <c r="E260" i="2" s="1"/>
  <c r="I260" i="2" l="1"/>
  <c r="H260" i="2"/>
  <c r="F260" i="2"/>
  <c r="G260" i="2" s="1"/>
  <c r="D261" i="2" l="1"/>
  <c r="E261" i="2" l="1"/>
  <c r="F261" i="2" s="1"/>
  <c r="G261" i="2" s="1"/>
  <c r="I261" i="2" l="1"/>
  <c r="H261" i="2"/>
  <c r="D262" i="2" l="1"/>
  <c r="E262" i="2" l="1"/>
  <c r="I262" i="2" l="1"/>
  <c r="H262" i="2"/>
  <c r="F262" i="2"/>
  <c r="G262" i="2" s="1"/>
  <c r="D263" i="2" l="1"/>
  <c r="E263" i="2"/>
  <c r="I263" i="2" s="1"/>
  <c r="H263" i="2" l="1"/>
  <c r="F263" i="2"/>
  <c r="G263" i="2" s="1"/>
  <c r="D264" i="2"/>
  <c r="E264" i="2"/>
  <c r="I264" i="2" s="1"/>
  <c r="H264" i="2"/>
  <c r="D265" i="2" l="1"/>
  <c r="E265" i="2"/>
  <c r="I265" i="2" s="1"/>
  <c r="F264" i="2"/>
  <c r="G264" i="2" s="1"/>
  <c r="F265" i="2" l="1"/>
  <c r="G265" i="2" s="1"/>
  <c r="H265" i="2"/>
  <c r="D266" i="2"/>
  <c r="E266" i="2" l="1"/>
  <c r="I266" i="2" l="1"/>
  <c r="H266" i="2"/>
  <c r="F266" i="2"/>
  <c r="G266" i="2" s="1"/>
  <c r="D267" i="2" l="1"/>
  <c r="E267" i="2" l="1"/>
  <c r="I267" i="2" l="1"/>
  <c r="H267" i="2"/>
  <c r="F267" i="2"/>
  <c r="G267" i="2" s="1"/>
  <c r="D268" i="2" l="1"/>
  <c r="E268" i="2"/>
  <c r="I268" i="2" s="1"/>
  <c r="H268" i="2"/>
  <c r="F268" i="2" l="1"/>
  <c r="G268" i="2" s="1"/>
  <c r="D269" i="2"/>
  <c r="E269" i="2"/>
  <c r="I269" i="2" s="1"/>
  <c r="H269" i="2"/>
  <c r="D270" i="2" l="1"/>
  <c r="F269" i="2"/>
  <c r="G269" i="2" s="1"/>
  <c r="E270" i="2" l="1"/>
  <c r="I270" i="2" l="1"/>
  <c r="H270" i="2"/>
  <c r="F270" i="2"/>
  <c r="G270" i="2" s="1"/>
  <c r="D271" i="2" l="1"/>
  <c r="E271" i="2" s="1"/>
  <c r="I271" i="2" l="1"/>
  <c r="H271" i="2"/>
  <c r="F271" i="2"/>
  <c r="G271" i="2" s="1"/>
  <c r="D272" i="2" l="1"/>
  <c r="E272" i="2" l="1"/>
  <c r="I272" i="2" l="1"/>
  <c r="H272" i="2"/>
  <c r="F272" i="2"/>
  <c r="G272" i="2" s="1"/>
  <c r="D273" i="2" l="1"/>
  <c r="E273" i="2"/>
  <c r="I273" i="2" s="1"/>
  <c r="H273" i="2" l="1"/>
  <c r="F273" i="2"/>
  <c r="G273" i="2" s="1"/>
  <c r="D274" i="2"/>
  <c r="E274" i="2"/>
  <c r="I274" i="2" s="1"/>
  <c r="H274" i="2"/>
  <c r="D275" i="2" l="1"/>
  <c r="E275" i="2" s="1"/>
  <c r="I275" i="2" s="1"/>
  <c r="F274" i="2"/>
  <c r="G274" i="2" s="1"/>
  <c r="F275" i="2" l="1"/>
  <c r="G275" i="2" s="1"/>
  <c r="H275" i="2"/>
  <c r="D276" i="2" l="1"/>
  <c r="E276" i="2"/>
  <c r="I276" i="2" s="1"/>
  <c r="H276" i="2" l="1"/>
  <c r="E277" i="2" s="1"/>
  <c r="I277" i="2" s="1"/>
  <c r="D277" i="2"/>
  <c r="F276" i="2"/>
  <c r="G276" i="2" s="1"/>
  <c r="G277" i="2" l="1"/>
  <c r="H277" i="2"/>
  <c r="F277" i="2"/>
  <c r="D278" i="2" l="1"/>
  <c r="E278" i="2" l="1"/>
  <c r="I278" i="2" l="1"/>
  <c r="H278" i="2"/>
  <c r="F278" i="2"/>
  <c r="G278" i="2" s="1"/>
  <c r="D279" i="2" l="1"/>
  <c r="E279" i="2"/>
  <c r="I279" i="2" s="1"/>
  <c r="H279" i="2" l="1"/>
  <c r="F279" i="2"/>
  <c r="G279" i="2" s="1"/>
  <c r="D280" i="2" l="1"/>
  <c r="E280" i="2" l="1"/>
  <c r="I280" i="2" l="1"/>
  <c r="H280" i="2"/>
  <c r="F280" i="2"/>
  <c r="G280" i="2" s="1"/>
  <c r="D281" i="2" l="1"/>
  <c r="E281" i="2" s="1"/>
  <c r="I281" i="2" s="1"/>
  <c r="H281" i="2" l="1"/>
  <c r="F281" i="2"/>
  <c r="G281" i="2" s="1"/>
  <c r="D282" i="2" l="1"/>
  <c r="E282" i="2"/>
  <c r="I282" i="2" s="1"/>
  <c r="H282" i="2" l="1"/>
  <c r="F282" i="2"/>
  <c r="G282" i="2" s="1"/>
  <c r="D283" i="2"/>
  <c r="E283" i="2"/>
  <c r="I283" i="2" s="1"/>
  <c r="F283" i="2" l="1"/>
  <c r="G283" i="2" s="1"/>
  <c r="H283" i="2"/>
  <c r="D284" i="2" l="1"/>
  <c r="E284" i="2" l="1"/>
  <c r="F284" i="2" s="1"/>
  <c r="G284" i="2" s="1"/>
  <c r="I284" i="2" l="1"/>
  <c r="H284" i="2"/>
  <c r="D285" i="2" l="1"/>
  <c r="E285" i="2"/>
  <c r="I285" i="2" s="1"/>
  <c r="H285" i="2" l="1"/>
  <c r="D286" i="2" s="1"/>
  <c r="F285" i="2"/>
  <c r="G285" i="2" s="1"/>
  <c r="E286" i="2" l="1"/>
  <c r="I286" i="2" l="1"/>
  <c r="H286" i="2"/>
  <c r="F286" i="2"/>
  <c r="G286" i="2" s="1"/>
  <c r="D287" i="2" l="1"/>
  <c r="E287" i="2"/>
  <c r="I287" i="2" s="1"/>
  <c r="H287" i="2"/>
  <c r="F287" i="2" l="1"/>
  <c r="G287" i="2" s="1"/>
  <c r="D288" i="2"/>
  <c r="E288" i="2"/>
  <c r="I288" i="2" s="1"/>
  <c r="H288" i="2"/>
  <c r="D289" i="2" l="1"/>
  <c r="E289" i="2"/>
  <c r="I289" i="2" s="1"/>
  <c r="H289" i="2"/>
  <c r="F288" i="2"/>
  <c r="G288" i="2" s="1"/>
  <c r="D290" i="2" l="1"/>
  <c r="E290" i="2"/>
  <c r="I290" i="2" s="1"/>
  <c r="F289" i="2"/>
  <c r="G289" i="2" s="1"/>
  <c r="H290" i="2" l="1"/>
  <c r="D291" i="2" s="1"/>
  <c r="F290" i="2"/>
  <c r="G290" i="2" s="1"/>
  <c r="E291" i="2" l="1"/>
  <c r="F291" i="2" s="1"/>
  <c r="G291" i="2" s="1"/>
  <c r="I291" i="2" l="1"/>
  <c r="H291" i="2"/>
  <c r="D292" i="2" l="1"/>
  <c r="E292" i="2"/>
  <c r="I292" i="2" s="1"/>
  <c r="H292" i="2"/>
  <c r="D293" i="2" l="1"/>
  <c r="E293" i="2"/>
  <c r="I293" i="2" s="1"/>
  <c r="F292" i="2"/>
  <c r="G292" i="2" s="1"/>
  <c r="H293" i="2" l="1"/>
  <c r="D294" i="2"/>
  <c r="E294" i="2" s="1"/>
  <c r="I294" i="2" s="1"/>
  <c r="F293" i="2"/>
  <c r="G293" i="2" s="1"/>
  <c r="F294" i="2" l="1"/>
  <c r="G294" i="2" s="1"/>
  <c r="H294" i="2"/>
  <c r="D295" i="2" s="1"/>
  <c r="G295" i="2" l="1"/>
  <c r="E295" i="2"/>
  <c r="F295" i="2" s="1"/>
  <c r="I295" i="2" l="1"/>
  <c r="H295" i="2"/>
  <c r="D296" i="2" l="1"/>
  <c r="E296" i="2"/>
  <c r="I296" i="2" s="1"/>
  <c r="H296" i="2"/>
  <c r="D297" i="2" l="1"/>
  <c r="E297" i="2"/>
  <c r="I297" i="2" s="1"/>
  <c r="H297" i="2"/>
  <c r="F296" i="2"/>
  <c r="G296" i="2" s="1"/>
  <c r="F297" i="2" l="1"/>
  <c r="G297" i="2" s="1"/>
  <c r="D298" i="2"/>
  <c r="E298" i="2"/>
  <c r="I298" i="2" s="1"/>
  <c r="H298" i="2"/>
  <c r="F298" i="2" l="1"/>
  <c r="G298" i="2" s="1"/>
  <c r="D299" i="2"/>
  <c r="E299" i="2" l="1"/>
  <c r="F299" i="2" s="1"/>
  <c r="G299" i="2" s="1"/>
  <c r="I299" i="2" l="1"/>
  <c r="H299" i="2"/>
  <c r="D300" i="2" l="1"/>
  <c r="E300" i="2"/>
  <c r="I300" i="2" s="1"/>
  <c r="H300" i="2" l="1"/>
  <c r="D301" i="2" s="1"/>
  <c r="F300" i="2"/>
  <c r="G300" i="2" s="1"/>
  <c r="E301" i="2" l="1"/>
  <c r="F301" i="2" s="1"/>
  <c r="G301" i="2" s="1"/>
  <c r="I301" i="2" l="1"/>
  <c r="H301" i="2"/>
  <c r="D302" i="2" l="1"/>
  <c r="E302" i="2" l="1"/>
  <c r="F302" i="2" s="1"/>
  <c r="G302" i="2" s="1"/>
  <c r="I302" i="2" l="1"/>
  <c r="H302" i="2"/>
  <c r="D303" i="2" l="1"/>
  <c r="E303" i="2" l="1"/>
  <c r="F303" i="2" s="1"/>
  <c r="G303" i="2" s="1"/>
  <c r="I303" i="2" l="1"/>
  <c r="H303" i="2"/>
  <c r="D304" i="2" l="1"/>
  <c r="E304" i="2"/>
  <c r="I304" i="2" s="1"/>
  <c r="H304" i="2" l="1"/>
  <c r="D305" i="2"/>
  <c r="F304" i="2"/>
  <c r="G304" i="2" s="1"/>
  <c r="E305" i="2" l="1"/>
  <c r="I305" i="2" l="1"/>
  <c r="H305" i="2"/>
  <c r="F305" i="2"/>
  <c r="G305" i="2" s="1"/>
  <c r="D306" i="2" l="1"/>
  <c r="E306" i="2"/>
  <c r="I306" i="2" s="1"/>
  <c r="H306" i="2"/>
  <c r="D307" i="2" l="1"/>
  <c r="F306" i="2"/>
  <c r="G306" i="2" s="1"/>
  <c r="E307" i="2" l="1"/>
  <c r="F307" i="2" s="1"/>
  <c r="G307" i="2" s="1"/>
  <c r="I307" i="2" l="1"/>
  <c r="H307" i="2"/>
  <c r="D308" i="2" l="1"/>
  <c r="E308" i="2"/>
  <c r="I308" i="2" s="1"/>
  <c r="H308" i="2" l="1"/>
  <c r="E309" i="2"/>
  <c r="I309" i="2" s="1"/>
  <c r="D309" i="2"/>
  <c r="F308" i="2"/>
  <c r="G308" i="2" s="1"/>
  <c r="F309" i="2" l="1"/>
  <c r="G309" i="2" s="1"/>
  <c r="H309" i="2"/>
  <c r="D310" i="2" l="1"/>
  <c r="E310" i="2"/>
  <c r="I310" i="2" s="1"/>
  <c r="H310" i="2" l="1"/>
  <c r="F310" i="2"/>
  <c r="G310" i="2" s="1"/>
  <c r="E311" i="2" l="1"/>
  <c r="I311" i="2" s="1"/>
  <c r="D311" i="2"/>
  <c r="H311" i="2" l="1"/>
  <c r="F311" i="2"/>
  <c r="G311" i="2" s="1"/>
  <c r="D312" i="2" l="1"/>
  <c r="E312" i="2" s="1"/>
  <c r="I312" i="2" l="1"/>
  <c r="H312" i="2"/>
  <c r="F312" i="2"/>
  <c r="G312" i="2" s="1"/>
  <c r="D313" i="2" l="1"/>
  <c r="E313" i="2"/>
  <c r="I313" i="2" s="1"/>
  <c r="H313" i="2" l="1"/>
  <c r="D314" i="2"/>
  <c r="E314" i="2"/>
  <c r="I314" i="2" s="1"/>
  <c r="H314" i="2"/>
  <c r="F313" i="2"/>
  <c r="G313" i="2" s="1"/>
  <c r="F314" i="2" l="1"/>
  <c r="G314" i="2" s="1"/>
  <c r="D315" i="2"/>
  <c r="E315" i="2"/>
  <c r="I315" i="2" s="1"/>
  <c r="F315" i="2" l="1"/>
  <c r="G315" i="2" s="1"/>
  <c r="H315" i="2"/>
  <c r="D316" i="2" l="1"/>
  <c r="E316" i="2"/>
  <c r="I316" i="2" s="1"/>
  <c r="H316" i="2"/>
  <c r="D317" i="2" l="1"/>
  <c r="E317" i="2"/>
  <c r="I317" i="2" s="1"/>
  <c r="H317" i="2"/>
  <c r="F316" i="2"/>
  <c r="G316" i="2" s="1"/>
  <c r="F317" i="2" l="1"/>
  <c r="G317" i="2" s="1"/>
  <c r="D318" i="2"/>
  <c r="E318" i="2"/>
  <c r="I318" i="2" s="1"/>
  <c r="G318" i="2" l="1"/>
  <c r="H318" i="2"/>
  <c r="D319" i="2" s="1"/>
  <c r="E319" i="2" s="1"/>
  <c r="F318" i="2"/>
  <c r="G319" i="2" l="1"/>
  <c r="I319" i="2"/>
  <c r="H319" i="2"/>
  <c r="F319" i="2"/>
  <c r="D320" i="2" l="1"/>
  <c r="E320" i="2"/>
  <c r="I320" i="2" s="1"/>
  <c r="H320" i="2" l="1"/>
  <c r="F320" i="2"/>
  <c r="G320" i="2" s="1"/>
  <c r="D321" i="2" l="1"/>
  <c r="E321" i="2"/>
  <c r="I321" i="2" s="1"/>
  <c r="F321" i="2" l="1"/>
  <c r="G321" i="2" s="1"/>
  <c r="H321" i="2"/>
  <c r="D322" i="2" l="1"/>
  <c r="E322" i="2"/>
  <c r="I322" i="2" s="1"/>
  <c r="H322" i="2"/>
  <c r="D323" i="2" l="1"/>
  <c r="E323" i="2" s="1"/>
  <c r="I323" i="2" s="1"/>
  <c r="F322" i="2"/>
  <c r="G322" i="2" s="1"/>
  <c r="F323" i="2" l="1"/>
  <c r="G323" i="2" s="1"/>
  <c r="H323" i="2"/>
  <c r="D324" i="2" l="1"/>
  <c r="E324" i="2" s="1"/>
  <c r="I324" i="2" l="1"/>
  <c r="H324" i="2"/>
  <c r="F324" i="2"/>
  <c r="G324" i="2" s="1"/>
  <c r="D325" i="2" l="1"/>
  <c r="F325" i="2" s="1"/>
  <c r="G325" i="2" s="1"/>
  <c r="E325" i="2"/>
  <c r="I325" i="2" s="1"/>
  <c r="H325" i="2" l="1"/>
  <c r="D326" i="2" l="1"/>
  <c r="E326" i="2"/>
  <c r="I326" i="2" s="1"/>
  <c r="H326" i="2" l="1"/>
  <c r="F326" i="2"/>
  <c r="G326" i="2" s="1"/>
  <c r="D327" i="2" l="1"/>
  <c r="E327" i="2"/>
  <c r="I327" i="2" s="1"/>
  <c r="H327" i="2"/>
  <c r="D328" i="2" l="1"/>
  <c r="E328" i="2" s="1"/>
  <c r="I328" i="2" s="1"/>
  <c r="F327" i="2"/>
  <c r="G327" i="2" s="1"/>
  <c r="F328" i="2" l="1"/>
  <c r="G328" i="2" s="1"/>
  <c r="H328" i="2"/>
  <c r="D329" i="2" l="1"/>
  <c r="E329" i="2" s="1"/>
  <c r="I329" i="2" l="1"/>
  <c r="H329" i="2"/>
  <c r="F329" i="2"/>
  <c r="G329" i="2" s="1"/>
  <c r="D330" i="2" l="1"/>
  <c r="E330" i="2"/>
  <c r="I330" i="2" s="1"/>
  <c r="H330" i="2" l="1"/>
  <c r="D331" i="2" s="1"/>
  <c r="F330" i="2"/>
  <c r="G330" i="2" s="1"/>
  <c r="E331" i="2" l="1"/>
  <c r="I331" i="2" s="1"/>
  <c r="F331" i="2"/>
  <c r="G331" i="2" s="1"/>
  <c r="H331" i="2"/>
  <c r="D332" i="2"/>
  <c r="E332" i="2"/>
  <c r="I332" i="2" s="1"/>
  <c r="H332" i="2"/>
  <c r="F332" i="2" l="1"/>
  <c r="G332" i="2" s="1"/>
  <c r="D333" i="2"/>
  <c r="E333" i="2" s="1"/>
  <c r="H333" i="2" l="1"/>
  <c r="I333" i="2"/>
  <c r="F333" i="2"/>
  <c r="G333" i="2" s="1"/>
  <c r="D334" i="2" l="1"/>
  <c r="E334" i="2"/>
  <c r="I334" i="2" s="1"/>
  <c r="H334" i="2" l="1"/>
  <c r="F334" i="2"/>
  <c r="G334" i="2" s="1"/>
  <c r="D335" i="2" l="1"/>
  <c r="E335" i="2" s="1"/>
  <c r="I335" i="2" s="1"/>
  <c r="H335" i="2" l="1"/>
  <c r="F335" i="2"/>
  <c r="G335" i="2" s="1"/>
  <c r="D336" i="2" l="1"/>
  <c r="E336" i="2"/>
  <c r="I336" i="2" s="1"/>
  <c r="H336" i="2" l="1"/>
  <c r="D337" i="2" s="1"/>
  <c r="F336" i="2"/>
  <c r="G336" i="2" s="1"/>
  <c r="E337" i="2" l="1"/>
  <c r="I337" i="2" l="1"/>
  <c r="H337" i="2"/>
  <c r="F337" i="2"/>
  <c r="G337" i="2" s="1"/>
  <c r="D338" i="2" l="1"/>
  <c r="E338" i="2"/>
  <c r="I338" i="2" l="1"/>
  <c r="H338" i="2"/>
  <c r="F338" i="2"/>
  <c r="G338" i="2" s="1"/>
  <c r="D339" i="2" l="1"/>
  <c r="E339" i="2"/>
  <c r="I339" i="2" s="1"/>
  <c r="H339" i="2"/>
  <c r="F339" i="2" l="1"/>
  <c r="G339" i="2" s="1"/>
  <c r="D340" i="2"/>
  <c r="E340" i="2" s="1"/>
  <c r="I340" i="2" s="1"/>
  <c r="F340" i="2" l="1"/>
  <c r="G340" i="2" s="1"/>
  <c r="H340" i="2"/>
  <c r="D341" i="2" l="1"/>
  <c r="E341" i="2"/>
  <c r="I341" i="2" s="1"/>
  <c r="H341" i="2" l="1"/>
  <c r="F341" i="2"/>
  <c r="G341" i="2" s="1"/>
  <c r="D342" i="2" l="1"/>
  <c r="E342" i="2" s="1"/>
  <c r="I342" i="2" s="1"/>
  <c r="F342" i="2" l="1"/>
  <c r="G342" i="2" s="1"/>
  <c r="H342" i="2"/>
  <c r="D343" i="2" l="1"/>
  <c r="E343" i="2"/>
  <c r="I343" i="2" s="1"/>
  <c r="H343" i="2"/>
  <c r="E344" i="2" l="1"/>
  <c r="I344" i="2" s="1"/>
  <c r="D344" i="2"/>
  <c r="F343" i="2"/>
  <c r="G343" i="2" s="1"/>
  <c r="F344" i="2" l="1"/>
  <c r="G344" i="2" s="1"/>
  <c r="H344" i="2"/>
  <c r="D345" i="2" l="1"/>
  <c r="E345" i="2" s="1"/>
  <c r="I345" i="2" s="1"/>
  <c r="H345" i="2" l="1"/>
  <c r="F345" i="2"/>
  <c r="G345" i="2" s="1"/>
  <c r="D346" i="2" l="1"/>
  <c r="E346" i="2"/>
  <c r="I346" i="2" s="1"/>
  <c r="H346" i="2"/>
  <c r="F346" i="2" l="1"/>
  <c r="G346" i="2" s="1"/>
  <c r="D347" i="2"/>
  <c r="E347" i="2"/>
  <c r="I347" i="2" s="1"/>
  <c r="H347" i="2"/>
  <c r="D348" i="2" l="1"/>
  <c r="E348" i="2"/>
  <c r="I348" i="2" s="1"/>
  <c r="H348" i="2"/>
  <c r="F347" i="2"/>
  <c r="F348" i="2" l="1"/>
  <c r="G347" i="2"/>
  <c r="G348" i="2" s="1"/>
  <c r="G349" i="2" s="1"/>
  <c r="E349" i="2"/>
  <c r="I349" i="2" s="1"/>
  <c r="D349" i="2"/>
  <c r="F349" i="2" s="1"/>
  <c r="H349" i="2"/>
  <c r="D350" i="2" l="1"/>
  <c r="E350" i="2"/>
  <c r="I350" i="2" s="1"/>
  <c r="H350" i="2"/>
  <c r="D351" i="2" s="1"/>
  <c r="E351" i="2" s="1"/>
  <c r="I351" i="2" s="1"/>
  <c r="H351" i="2" l="1"/>
  <c r="F350" i="2"/>
  <c r="D352" i="2"/>
  <c r="F351" i="2" l="1"/>
  <c r="G350" i="2"/>
  <c r="G351" i="2" s="1"/>
  <c r="E352" i="2"/>
  <c r="I352" i="2" l="1"/>
  <c r="H352" i="2"/>
  <c r="F352" i="2"/>
  <c r="G352" i="2" s="1"/>
  <c r="D353" i="2" l="1"/>
  <c r="E353" i="2" s="1"/>
  <c r="I353" i="2" l="1"/>
  <c r="H353" i="2"/>
  <c r="F353" i="2"/>
  <c r="G353" i="2" s="1"/>
  <c r="D354" i="2" l="1"/>
  <c r="E354" i="2"/>
  <c r="I354" i="2" s="1"/>
  <c r="F354" i="2" l="1"/>
  <c r="G354" i="2" s="1"/>
  <c r="H354" i="2"/>
  <c r="D355" i="2" l="1"/>
  <c r="E355" i="2"/>
  <c r="I355" i="2" s="1"/>
  <c r="H355" i="2" l="1"/>
  <c r="F355" i="2"/>
  <c r="G355" i="2" s="1"/>
  <c r="D356" i="2" l="1"/>
  <c r="E356" i="2"/>
  <c r="I356" i="2" s="1"/>
  <c r="H356" i="2"/>
  <c r="D357" i="2" l="1"/>
  <c r="E357" i="2" s="1"/>
  <c r="F356" i="2"/>
  <c r="G356" i="2" s="1"/>
  <c r="I357" i="2" l="1"/>
  <c r="H357" i="2"/>
  <c r="F357" i="2"/>
  <c r="G357" i="2" s="1"/>
  <c r="D358" i="2" l="1"/>
  <c r="E358" i="2"/>
  <c r="I358" i="2" s="1"/>
  <c r="H358" i="2" l="1"/>
  <c r="D359" i="2" s="1"/>
  <c r="F358" i="2"/>
  <c r="G358" i="2" s="1"/>
  <c r="E359" i="2"/>
  <c r="I359" i="2" s="1"/>
  <c r="F359" i="2" l="1"/>
  <c r="G359" i="2" s="1"/>
  <c r="H359" i="2"/>
  <c r="D360" i="2" l="1"/>
  <c r="E360" i="2" s="1"/>
  <c r="I360" i="2" l="1"/>
  <c r="H360" i="2"/>
  <c r="F360" i="2"/>
  <c r="G360" i="2" s="1"/>
  <c r="D361" i="2" l="1"/>
  <c r="E361" i="2"/>
  <c r="I361" i="2" s="1"/>
  <c r="H361" i="2"/>
  <c r="F361" i="2" l="1"/>
  <c r="G361" i="2" s="1"/>
  <c r="D362" i="2"/>
  <c r="E362" i="2" l="1"/>
  <c r="I362" i="2" l="1"/>
  <c r="H362" i="2"/>
  <c r="F362" i="2"/>
  <c r="G362" i="2" l="1"/>
  <c r="K36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<sst xmlns="http://schemas.openxmlformats.org/spreadsheetml/2006/main" count="32" uniqueCount="32">
  <si>
    <t>Capital</t>
  </si>
  <si>
    <t>Yrs</t>
  </si>
  <si>
    <t>Equity</t>
  </si>
  <si>
    <t>Principal</t>
  </si>
  <si>
    <t>Payment Period Yrs</t>
  </si>
  <si>
    <t>Montly Payments</t>
  </si>
  <si>
    <t>Balance</t>
  </si>
  <si>
    <t>Interest</t>
  </si>
  <si>
    <t>Out-of-Pocket</t>
  </si>
  <si>
    <t>Months</t>
  </si>
  <si>
    <t>Year</t>
  </si>
  <si>
    <t xml:space="preserve">Capital </t>
  </si>
  <si>
    <t xml:space="preserve">Interest </t>
  </si>
  <si>
    <t xml:space="preserve">Principal </t>
  </si>
  <si>
    <t xml:space="preserve">Out-Of-Pocket </t>
  </si>
  <si>
    <t>Debt Balance</t>
  </si>
  <si>
    <t xml:space="preserve">Equity </t>
  </si>
  <si>
    <t>Expected Sale Price</t>
  </si>
  <si>
    <t>GM%</t>
  </si>
  <si>
    <t>Interest Rate</t>
  </si>
  <si>
    <t>Initial Valuation (,000)</t>
  </si>
  <si>
    <t>Down Payment (,000)</t>
  </si>
  <si>
    <t>Annual Return</t>
  </si>
  <si>
    <t>Scenarios</t>
  </si>
  <si>
    <t>#1</t>
  </si>
  <si>
    <t>#2</t>
  </si>
  <si>
    <t>#3</t>
  </si>
  <si>
    <t>HNL</t>
  </si>
  <si>
    <t>USD</t>
  </si>
  <si>
    <t>Out-of-Pocket USD Equiv</t>
  </si>
  <si>
    <t>Max of Out-of-Pocket USD Equiv</t>
  </si>
  <si>
    <t>Expected Sale Price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</si>
</sst>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#,##0.0,"/>
    <numFmt numFmtId="165" formatCode="_(&quot;$&quot;* #,##0_);_(&quot;$&quot;* \(#,##0\);_(&quot;$&quot;* &quot;-&quot;??_);_(@_)"/>
    <numFmt numFmtId="166" formatCode="_(&quot;$&quot;* #,##0.0_);_(&quot;$&quot;* \(#,##0.0\);_(&quot;$&quot;* &quot;-&quot;?_);_(@_)"/>
    <numFmt numFmtId="167" formatCode="_(&quot;$&quot;* #,##0.000_);_(&quot;$&quot;* \(#,##0.000\);_(&quot;$&quot;* &quot;-&quot;??_);_(@_)"/>
    <numFmt numFmtId="168" formatCode="&quot;$&quot;#,##0.0,"/>
    <numFmt numFmtId="169" formatCode="0.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164" fontId="0" fillId="0" borderId="0" xfId="0" applyNumberFormat="1"/>
    <xf numFmtId="165" fontId="0" fillId="0" borderId="0" xfId="1" applyNumberFormat="1" applyFont="1"/>
    <xf numFmtId="166" fontId="0" fillId="0" borderId="0" xfId="0" applyNumberFormat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 applyAlignment="1">
      <alignment horizontal="right"/>
    </xf>
    <xf numFmtId="9" fontId="0" fillId="0" borderId="0" xfId="2" applyFont="1" applyAlignment="1">
      <alignment horizontal="center" vertical="center"/>
    </xf>
    <xf numFmtId="165" fontId="0" fillId="0" borderId="0" xfId="1" applyNumberFormat="1" applyFont="1" applyBorder="1"/>
    <xf numFmtId="167" fontId="0" fillId="0" borderId="0" xfId="1" applyNumberFormat="1" applyFont="1" applyBorder="1"/>
    <xf numFmtId="0" fontId="2" fillId="0" borderId="0" xfId="0" applyFont="1" applyAlignment="1">
      <alignment horizontal="right"/>
    </xf>
    <xf numFmtId="165" fontId="0" fillId="0" borderId="0" xfId="1" applyNumberFormat="1" applyFont="1" applyBorder="1" applyAlignment="1">
      <alignment horizontal="center" vertical="center"/>
    </xf>
    <xf numFmtId="168" fontId="0" fillId="0" borderId="0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right"/>
    </xf>
    <xf numFmtId="0" fontId="0" fillId="2" borderId="0" xfId="0" applyFill="1"/>
    <xf numFmtId="168" fontId="0" fillId="2" borderId="0" xfId="1" applyNumberFormat="1" applyFont="1" applyFill="1" applyBorder="1" applyAlignment="1">
      <alignment horizontal="center" vertical="center"/>
    </xf>
    <xf numFmtId="169" fontId="0" fillId="2" borderId="0" xfId="2" applyNumberFormat="1" applyFont="1" applyFill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/>
    <xf numFmtId="169" fontId="0" fillId="0" borderId="0" xfId="0" applyNumberFormat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172">
    <dxf>
      <alignment horizontal="right"/>
    </dxf>
    <dxf>
      <numFmt numFmtId="168" formatCode="&quot;$&quot;#,##0.0,"/>
      <alignment horizontal="center" vertical="center"/>
    </dxf>
    <dxf>
      <alignment horizontal="right"/>
    </dxf>
    <dxf>
      <numFmt numFmtId="168" formatCode="&quot;$&quot;#,##0.0,"/>
      <alignment horizontal="center" vertical="center"/>
    </dxf>
    <dxf>
      <alignment horizontal="right"/>
    </dxf>
    <dxf>
      <numFmt numFmtId="168" formatCode="&quot;$&quot;#,##0.0,"/>
      <alignment horizontal="center" vertical="center"/>
    </dxf>
    <dxf>
      <alignment horizontal="right"/>
    </dxf>
    <dxf>
      <numFmt numFmtId="168" formatCode="&quot;$&quot;#,##0.0,"/>
      <alignment horizontal="center" vertical="center"/>
    </dxf>
    <dxf>
      <alignment horizontal="right"/>
    </dxf>
    <dxf>
      <numFmt numFmtId="168" formatCode="&quot;$&quot;#,##0.0,"/>
      <alignment horizontal="center" vertical="center"/>
    </dxf>
    <dxf>
      <alignment horizontal="right"/>
    </dxf>
    <dxf>
      <numFmt numFmtId="168" formatCode="&quot;$&quot;#,##0.0,"/>
      <alignment horizontal="center" vertical="center"/>
    </dxf>
    <dxf>
      <alignment horizontal="right"/>
    </dxf>
    <dxf>
      <numFmt numFmtId="168" formatCode="&quot;$&quot;#,##0.0,"/>
      <alignment horizontal="center" vertical="center"/>
    </dxf>
    <dxf>
      <alignment horizontal="right"/>
    </dxf>
    <dxf>
      <numFmt numFmtId="168" formatCode="&quot;$&quot;#,##0.0,"/>
      <alignment horizontal="center" vertical="center"/>
    </dxf>
    <dxf>
      <alignment horizontal="right"/>
    </dxf>
    <dxf>
      <numFmt numFmtId="168" formatCode="&quot;$&quot;#,##0.0,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168" formatCode="&quot;$&quot;#,##0.0,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168" formatCode="&quot;$&quot;#,##0.0,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168" formatCode="&quot;$&quot;#,##0.0,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168" formatCode="&quot;$&quot;#,##0.0,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168" formatCode="&quot;$&quot;#,##0.0,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168" formatCode="&quot;$&quot;#,##0.0,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168" formatCode="&quot;$&quot;#,##0.0,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168" formatCode="&quot;$&quot;#,##0.0,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168" formatCode="&quot;$&quot;#,##0.0,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right"/>
    </dxf>
    <dxf>
      <numFmt numFmtId="168" formatCode="&quot;$&quot;#,##0.0,"/>
      <alignment horizontal="center"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68" formatCode="&quot;$&quot;#,##0.0,"/>
      <alignment horizontal="center" vertical="center"/>
    </dxf>
    <dxf>
      <alignment horizontal="right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muel Walton" refreshedDate="46034.812849768517" createdVersion="8" refreshedVersion="8" minRefreshableVersion="3" recordCount="362" xr:uid="{0374EE15-3F9A-4339-8D70-DF3800FFD4C8}">
  <cacheSource type="worksheet">
    <worksheetSource ref="A1:I1048576" sheet="CALC"/>
  </cacheSource>
  <cacheFields count="11">
    <cacheField name="Year" numFmtId="0">
      <sharedItems containsBlank="1" containsMixedTypes="1" containsNumber="1" containsInteger="1" minValue="0" maxValue="10"/>
    </cacheField>
    <cacheField name="Months" numFmtId="0">
      <sharedItems containsString="0" containsBlank="1" containsNumber="1" containsInteger="1" minValue="0" maxValue="120"/>
    </cacheField>
    <cacheField name="Capital" numFmtId="0">
      <sharedItems containsString="0" containsBlank="1" containsNumber="1" containsInteger="1" minValue="200000" maxValue="200000"/>
    </cacheField>
    <cacheField name="Interest" numFmtId="0">
      <sharedItems containsString="0" containsBlank="1" containsNumber="1" minValue="6.3713893420451022E-12" maxValue="1700"/>
    </cacheField>
    <cacheField name="Principal" numFmtId="0">
      <sharedItems containsString="0" containsBlank="1" containsNumber="1" minValue="0" maxValue="2954.7272152138239"/>
    </cacheField>
    <cacheField name="Out-of-Pocket" numFmtId="0">
      <sharedItems containsString="0" containsBlank="1" containsNumber="1" minValue="200000" maxValue="557078.78395859152"/>
    </cacheField>
    <cacheField name="Out-of-Pocket USD Equiv" numFmtId="0">
      <sharedItems containsString="0" containsBlank="1" containsNumber="1" minValue="7464.5357654085128" maxValue="15701.474744759675"/>
    </cacheField>
    <cacheField name="Balance" numFmtId="0">
      <sharedItems containsString="0" containsBlank="1" containsNumber="1" minValue="8.9949026005342603E-10" maxValue="240000"/>
    </cacheField>
    <cacheField name="Equity" numFmtId="0">
      <sharedItems containsString="0" containsBlank="1" containsNumber="1" minValue="200000" maxValue="439999.99999999895"/>
    </cacheField>
    <cacheField name="Out_Pocket_Metric" numFmtId="0" formula="Capital+Interest+Principal" databaseField="0"/>
    <cacheField name="Equity_Metric" numFmtId="0" formula="Capital+Principal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2">
  <r>
    <n v="0"/>
    <n v="0"/>
    <n v="200000"/>
    <m/>
    <m/>
    <n v="200000"/>
    <n v="7575.757575757576"/>
    <n v="240000"/>
    <n v="200000"/>
  </r>
  <r>
    <n v="1"/>
    <n v="1"/>
    <m/>
    <n v="1700"/>
    <n v="1275.6565329882615"/>
    <n v="202975.65653298827"/>
    <n v="7464.5357654085128"/>
    <n v="238724.34346701173"/>
    <n v="201275.65653298827"/>
  </r>
  <r>
    <n v="1"/>
    <n v="2"/>
    <m/>
    <n v="1690.964099558"/>
    <n v="1284.6924334302614"/>
    <n v="205951.31306597654"/>
    <n v="7573.9670883339413"/>
    <n v="237439.65103358147"/>
    <n v="202560.34896641853"/>
  </r>
  <r>
    <n v="1"/>
    <n v="3"/>
    <m/>
    <n v="1681.8641948212023"/>
    <n v="1293.7923381670591"/>
    <n v="208926.96959896479"/>
    <n v="7683.3984112593698"/>
    <n v="236145.85869541441"/>
    <n v="203854.14130458559"/>
  </r>
  <r>
    <n v="1"/>
    <n v="4"/>
    <m/>
    <n v="1672.6998324258523"/>
    <n v="1302.9567005624092"/>
    <n v="211902.62613195306"/>
    <n v="7792.8297341847992"/>
    <n v="234842.901994852"/>
    <n v="205157.098005148"/>
  </r>
  <r>
    <n v="1"/>
    <n v="5"/>
    <m/>
    <n v="1663.4705557968684"/>
    <n v="1312.185977191393"/>
    <n v="214878.28266494133"/>
    <n v="7902.2610571102286"/>
    <n v="233530.7160176606"/>
    <n v="206469.2839823394"/>
  </r>
  <r>
    <n v="1"/>
    <n v="6"/>
    <m/>
    <n v="1654.1759051250958"/>
    <n v="1321.4806278631656"/>
    <n v="217853.93919792961"/>
    <n v="8011.6923800356581"/>
    <n v="232209.23538979742"/>
    <n v="207790.76461020258"/>
  </r>
  <r>
    <n v="1"/>
    <n v="7"/>
    <m/>
    <n v="1644.8154173443984"/>
    <n v="1330.8411156438631"/>
    <n v="220829.59573091785"/>
    <n v="8121.1237029610857"/>
    <n v="230878.39427415357"/>
    <n v="209121.60572584643"/>
  </r>
  <r>
    <n v="1"/>
    <n v="8"/>
    <m/>
    <n v="1635.3886261085879"/>
    <n v="1340.2679068796735"/>
    <n v="223805.25226390612"/>
    <n v="8230.5550258865151"/>
    <n v="229538.12636727389"/>
    <n v="210461.87363272611"/>
  </r>
  <r>
    <n v="1"/>
    <n v="9"/>
    <m/>
    <n v="1625.8950617681901"/>
    <n v="1349.7614712200714"/>
    <n v="226780.90879689436"/>
    <n v="8339.9863488119427"/>
    <n v="228188.36489605383"/>
    <n v="211811.63510394617"/>
  </r>
  <r>
    <n v="1"/>
    <n v="10"/>
    <m/>
    <n v="1616.3342513470479"/>
    <n v="1359.3222816412135"/>
    <n v="229756.56532988264"/>
    <n v="8449.4176717373721"/>
    <n v="226829.04261441261"/>
    <n v="213170.95738558739"/>
  </r>
  <r>
    <n v="1"/>
    <n v="11"/>
    <m/>
    <n v="1606.7057185187562"/>
    <n v="1368.9508144695053"/>
    <n v="232732.22186287091"/>
    <n v="8558.8489946628015"/>
    <n v="225460.0917999431"/>
    <n v="214539.9082000569"/>
  </r>
  <r>
    <n v="1"/>
    <n v="12"/>
    <m/>
    <n v="1597.0089835829303"/>
    <n v="1378.6475494053311"/>
    <n v="235707.87839585918"/>
    <n v="8668.2803175882309"/>
    <n v="224081.44425053775"/>
    <n v="215918.55574946225"/>
  </r>
  <r>
    <n v="2"/>
    <n v="13"/>
    <m/>
    <n v="1587.2435634413093"/>
    <n v="1388.4129695469521"/>
    <n v="238683.53492884742"/>
    <n v="8522.0501364210286"/>
    <n v="222693.03128099081"/>
    <n v="217306.96871900919"/>
  </r>
  <r>
    <n v="2"/>
    <n v="14"/>
    <m/>
    <n v="1577.4089715736848"/>
    <n v="1398.2475614145767"/>
    <n v="241659.1914618357"/>
    <n v="8628.294139261252"/>
    <n v="221294.78371957623"/>
    <n v="218705.21628042377"/>
  </r>
  <r>
    <n v="2"/>
    <n v="15"/>
    <m/>
    <n v="1567.5047180136651"/>
    <n v="1408.1518149745964"/>
    <n v="244634.84799482394"/>
    <n v="8734.5381421014736"/>
    <n v="219886.63190460164"/>
    <n v="220113.36809539836"/>
  </r>
  <r>
    <n v="2"/>
    <n v="16"/>
    <m/>
    <n v="1557.5303093242617"/>
    <n v="1418.1262236639998"/>
    <n v="247610.50452781221"/>
    <n v="8840.7821449416952"/>
    <n v="218468.50568093764"/>
    <n v="221531.49431906236"/>
  </r>
  <r>
    <n v="2"/>
    <n v="17"/>
    <m/>
    <n v="1547.4852485733084"/>
    <n v="1428.1712844149531"/>
    <n v="250586.16106080046"/>
    <n v="8947.0261477819167"/>
    <n v="217040.3343965227"/>
    <n v="222959.6656034773"/>
  </r>
  <r>
    <n v="2"/>
    <n v="18"/>
    <m/>
    <n v="1537.3690353087025"/>
    <n v="1438.287497679559"/>
    <n v="253561.81759378873"/>
    <n v="9053.2701506221401"/>
    <n v="215602.04689884314"/>
    <n v="224397.95310115686"/>
  </r>
  <r>
    <n v="2"/>
    <n v="19"/>
    <m/>
    <n v="1527.1811655334723"/>
    <n v="1448.4753674547892"/>
    <n v="256537.47412677697"/>
    <n v="9159.5141534623617"/>
    <n v="214153.57153138836"/>
    <n v="225846.42846861164"/>
  </r>
  <r>
    <n v="2"/>
    <n v="20"/>
    <m/>
    <n v="1516.9211316806677"/>
    <n v="1458.7354013075937"/>
    <n v="259513.13065976521"/>
    <n v="9265.7581563025833"/>
    <n v="212694.83613008077"/>
    <n v="227305.16386991923"/>
  </r>
  <r>
    <n v="2"/>
    <n v="21"/>
    <m/>
    <n v="1506.588422588072"/>
    <n v="1469.0681104001894"/>
    <n v="262488.78719275346"/>
    <n v="9372.0021591428049"/>
    <n v="211225.76801968057"/>
    <n v="228774.23198031943"/>
  </r>
  <r>
    <n v="2"/>
    <n v="22"/>
    <m/>
    <n v="1496.1825234727376"/>
    <n v="1479.4740095155239"/>
    <n v="265464.44372574176"/>
    <n v="9478.2461619830283"/>
    <n v="209746.29401016506"/>
    <n v="230253.70598983494"/>
  </r>
  <r>
    <n v="2"/>
    <n v="23"/>
    <m/>
    <n v="1485.7029159053361"/>
    <n v="1489.9536170829253"/>
    <n v="268440.10025873"/>
    <n v="9584.4901648232499"/>
    <n v="208256.34039308212"/>
    <n v="231743.65960691788"/>
  </r>
  <r>
    <n v="2"/>
    <n v="24"/>
    <m/>
    <n v="1475.1490777843319"/>
    <n v="1500.5074552039296"/>
    <n v="271415.75679171825"/>
    <n v="9690.7341676634715"/>
    <n v="206755.83293787821"/>
    <n v="233244.16706212179"/>
  </r>
  <r>
    <n v="3"/>
    <n v="25"/>
    <m/>
    <n v="1464.5204833099708"/>
    <n v="1511.1360496782906"/>
    <n v="274391.41332470655"/>
    <n v="9511.6292917511601"/>
    <n v="205244.69688819992"/>
    <n v="234755.30311180008"/>
  </r>
  <r>
    <n v="3"/>
    <n v="26"/>
    <m/>
    <n v="1453.8166029580827"/>
    <n v="1521.8399300301787"/>
    <n v="277367.06985769479"/>
    <n v="9614.7788090717622"/>
    <n v="203722.85695816975"/>
    <n v="236277.14304183025"/>
  </r>
  <r>
    <n v="3"/>
    <n v="27"/>
    <m/>
    <n v="1443.0369034537025"/>
    <n v="1532.619629534559"/>
    <n v="280342.72639068303"/>
    <n v="9717.9283263923662"/>
    <n v="202190.23732863518"/>
    <n v="237809.76267136482"/>
  </r>
  <r>
    <n v="3"/>
    <n v="28"/>
    <m/>
    <n v="1432.1808477444993"/>
    <n v="1543.4756852437622"/>
    <n v="283318.38292367134"/>
    <n v="9821.077843712972"/>
    <n v="200646.76164339142"/>
    <n v="239353.23835660858"/>
  </r>
  <r>
    <n v="3"/>
    <n v="29"/>
    <m/>
    <n v="1421.2478949740225"/>
    <n v="1554.4086380142389"/>
    <n v="286294.03945665958"/>
    <n v="9924.227361033576"/>
    <n v="199092.3530053772"/>
    <n v="240907.6469946228"/>
  </r>
  <r>
    <n v="3"/>
    <n v="30"/>
    <m/>
    <n v="1410.237500454755"/>
    <n v="1565.4190325335064"/>
    <n v="289269.69598964782"/>
    <n v="10027.376878354178"/>
    <n v="197526.93397284369"/>
    <n v="242473.06602715631"/>
  </r>
  <r>
    <n v="3"/>
    <n v="31"/>
    <m/>
    <n v="1399.1491156409763"/>
    <n v="1576.5074173472851"/>
    <n v="292245.35252263607"/>
    <n v="10130.526395674782"/>
    <n v="195950.42655549641"/>
    <n v="244049.57344450359"/>
  </r>
  <r>
    <n v="3"/>
    <n v="32"/>
    <m/>
    <n v="1387.9821881014329"/>
    <n v="1587.6743448868285"/>
    <n v="295221.00905562437"/>
    <n v="10233.675912995388"/>
    <n v="194362.75221060959"/>
    <n v="245637.24778939041"/>
  </r>
  <r>
    <n v="3"/>
    <n v="33"/>
    <m/>
    <n v="1376.7361614918179"/>
    <n v="1598.9203714964435"/>
    <n v="298196.66558861267"/>
    <n v="10336.825430315994"/>
    <n v="192763.83183911315"/>
    <n v="247236.16816088685"/>
  </r>
  <r>
    <n v="3"/>
    <n v="34"/>
    <m/>
    <n v="1365.4104755270516"/>
    <n v="1610.2460574612098"/>
    <n v="301172.32212160091"/>
    <n v="10439.974947636596"/>
    <n v="191153.58578165193"/>
    <n v="248846.41421834807"/>
  </r>
  <r>
    <n v="3"/>
    <n v="35"/>
    <m/>
    <n v="1354.0045659533678"/>
    <n v="1621.6519670348937"/>
    <n v="304147.97865458921"/>
    <n v="10543.124464957202"/>
    <n v="189531.93381461702"/>
    <n v="250468.06618538298"/>
  </r>
  <r>
    <n v="3"/>
    <n v="36"/>
    <m/>
    <n v="1342.5178645202041"/>
    <n v="1633.1386684680574"/>
    <n v="307123.63518757746"/>
    <n v="10646.273982277806"/>
    <n v="187898.79514614897"/>
    <n v="252101.20485385103"/>
  </r>
  <r>
    <n v="4"/>
    <n v="37"/>
    <m/>
    <n v="1330.9497989518886"/>
    <n v="1644.7067340363728"/>
    <n v="310099.29172056576"/>
    <n v="10436.33349475574"/>
    <n v="186254.08841211259"/>
    <n v="253745.91158788741"/>
  </r>
  <r>
    <n v="4"/>
    <n v="38"/>
    <m/>
    <n v="1319.2997929191308"/>
    <n v="1656.3567400691306"/>
    <n v="313074.948253554"/>
    <n v="10536.478657202928"/>
    <n v="184597.73167204345"/>
    <n v="255402.26832795655"/>
  </r>
  <r>
    <n v="4"/>
    <n v="39"/>
    <m/>
    <n v="1307.5672660103078"/>
    <n v="1668.0892669779537"/>
    <n v="316050.6047865423"/>
    <n v="10636.623819650118"/>
    <n v="182929.6424050655"/>
    <n v="257070.3575949345"/>
  </r>
  <r>
    <n v="4"/>
    <n v="40"/>
    <m/>
    <n v="1295.7516337025475"/>
    <n v="1679.904899285714"/>
    <n v="319026.26131953055"/>
    <n v="10736.768982097305"/>
    <n v="181249.73750577978"/>
    <n v="258750.26249422022"/>
  </r>
  <r>
    <n v="4"/>
    <n v="41"/>
    <m/>
    <n v="1283.8523073326069"/>
    <n v="1691.8042256556546"/>
    <n v="322001.91785251885"/>
    <n v="10836.914144544495"/>
    <n v="179557.93328012413"/>
    <n v="260442.06671987587"/>
  </r>
  <r>
    <n v="4"/>
    <n v="42"/>
    <m/>
    <n v="1271.8686940675459"/>
    <n v="1703.7878389207156"/>
    <n v="324977.57438550709"/>
    <n v="10937.059306991683"/>
    <n v="177854.14544120341"/>
    <n v="262145.85455879656"/>
  </r>
  <r>
    <n v="4"/>
    <n v="43"/>
    <m/>
    <n v="1259.8001968751907"/>
    <n v="1715.8563361130707"/>
    <n v="327953.23091849533"/>
    <n v="11037.204469438871"/>
    <n v="176138.28910509034"/>
    <n v="263861.71089490963"/>
  </r>
  <r>
    <n v="4"/>
    <n v="44"/>
    <m/>
    <n v="1247.6462144943901"/>
    <n v="1728.0103184938714"/>
    <n v="330928.88745148358"/>
    <n v="11137.349631886058"/>
    <n v="174410.27878659646"/>
    <n v="265589.72121340351"/>
  </r>
  <r>
    <n v="4"/>
    <n v="45"/>
    <m/>
    <n v="1235.4061414050584"/>
    <n v="1740.2503915832031"/>
    <n v="333904.54398447182"/>
    <n v="11237.494794333246"/>
    <n v="172670.02839501327"/>
    <n v="267329.9716049867"/>
  </r>
  <r>
    <n v="4"/>
    <n v="46"/>
    <m/>
    <n v="1223.0793677980107"/>
    <n v="1752.5771651902508"/>
    <n v="336880.20051746006"/>
    <n v="11337.639956780435"/>
    <n v="170917.45122982303"/>
    <n v="269082.54877017695"/>
  </r>
  <r>
    <n v="4"/>
    <n v="47"/>
    <m/>
    <n v="1210.6652795445798"/>
    <n v="1764.9912534436817"/>
    <n v="339855.85705044837"/>
    <n v="11437.785119227625"/>
    <n v="169152.45997637935"/>
    <n v="270847.54002362065"/>
  </r>
  <r>
    <n v="4"/>
    <n v="48"/>
    <m/>
    <n v="1198.1632581660206"/>
    <n v="1777.4932748222409"/>
    <n v="342831.51358343661"/>
    <n v="11537.930281674811"/>
    <n v="167374.9667015571"/>
    <n v="272625.0332984429"/>
  </r>
  <r>
    <n v="5"/>
    <n v="49"/>
    <m/>
    <n v="1185.5726808026964"/>
    <n v="1790.0838521855651"/>
    <n v="345807.17011642491"/>
    <n v="11299.102372933983"/>
    <n v="165584.88284937153"/>
    <n v="274415.11715062847"/>
  </r>
  <r>
    <n v="5"/>
    <n v="50"/>
    <m/>
    <n v="1172.8929201830485"/>
    <n v="1802.7636128052129"/>
    <n v="348782.82664941321"/>
    <n v="11396.330685989507"/>
    <n v="163782.1192365663"/>
    <n v="276217.8807634337"/>
  </r>
  <r>
    <n v="5"/>
    <n v="51"/>
    <m/>
    <n v="1160.1233445923447"/>
    <n v="1815.5331883959168"/>
    <n v="351758.48318240145"/>
    <n v="11493.55899904503"/>
    <n v="161966.58604817037"/>
    <n v="278033.4139518296"/>
  </r>
  <r>
    <n v="5"/>
    <n v="52"/>
    <m/>
    <n v="1147.2633178412068"/>
    <n v="1828.3932151470547"/>
    <n v="354734.13971538976"/>
    <n v="11590.787312100552"/>
    <n v="160138.19283302332"/>
    <n v="279861.80716697668"/>
  </r>
  <r>
    <n v="5"/>
    <n v="53"/>
    <m/>
    <n v="1134.3121992339154"/>
    <n v="1841.3443337543461"/>
    <n v="357709.796248378"/>
    <n v="11688.015625156075"/>
    <n v="158296.84849926896"/>
    <n v="281703.15150073101"/>
  </r>
  <r>
    <n v="5"/>
    <n v="54"/>
    <m/>
    <n v="1121.2693435364886"/>
    <n v="1854.3871894517729"/>
    <n v="360685.45278136624"/>
    <n v="11785.243938211597"/>
    <n v="156442.46130981718"/>
    <n v="283557.53869018279"/>
  </r>
  <r>
    <n v="5"/>
    <n v="55"/>
    <m/>
    <n v="1108.1341009445384"/>
    <n v="1867.522432043723"/>
    <n v="363661.10931435454"/>
    <n v="11882.472251267121"/>
    <n v="154574.93887777347"/>
    <n v="285425.06112222653"/>
  </r>
  <r>
    <n v="5"/>
    <n v="56"/>
    <m/>
    <n v="1094.9058170508954"/>
    <n v="1880.7507159373661"/>
    <n v="366636.76584734279"/>
    <n v="11979.700564322644"/>
    <n v="152694.18816183609"/>
    <n v="287305.81183816388"/>
  </r>
  <r>
    <n v="5"/>
    <n v="57"/>
    <m/>
    <n v="1081.5838328130058"/>
    <n v="1894.0727001752557"/>
    <n v="369612.42238033109"/>
    <n v="12076.928877378168"/>
    <n v="150800.11546166084"/>
    <n v="289199.88453833916"/>
  </r>
  <r>
    <n v="5"/>
    <n v="58"/>
    <m/>
    <n v="1068.1674845200976"/>
    <n v="1907.4890484681639"/>
    <n v="372588.07891331939"/>
    <n v="12174.157190433692"/>
    <n v="148892.62641319269"/>
    <n v="291107.37358680734"/>
  </r>
  <r>
    <n v="5"/>
    <n v="59"/>
    <m/>
    <n v="1054.656103760115"/>
    <n v="1921.0004292281465"/>
    <n v="375563.73544630763"/>
    <n v="12271.385503489213"/>
    <n v="146971.62598396454"/>
    <n v="293028.37401603546"/>
  </r>
  <r>
    <n v="5"/>
    <n v="60"/>
    <m/>
    <n v="1041.0490173864155"/>
    <n v="1934.607515601846"/>
    <n v="378539.39197929588"/>
    <n v="12368.613816544736"/>
    <n v="145037.01846836269"/>
    <n v="294962.98153163731"/>
  </r>
  <r>
    <n v="6"/>
    <n v="61"/>
    <m/>
    <n v="1027.3455474842358"/>
    <n v="1948.3109855040257"/>
    <n v="381515.04851228412"/>
    <n v="12102.759349126463"/>
    <n v="143088.70748285865"/>
    <n v="296911.29251714132"/>
  </r>
  <r>
    <n v="6"/>
    <n v="62"/>
    <m/>
    <n v="1013.5450113369155"/>
    <n v="1962.1115216513458"/>
    <n v="384490.70504527236"/>
    <n v="12197.155769568719"/>
    <n v="141126.59596120729"/>
    <n v="298873.40403879265"/>
  </r>
  <r>
    <n v="6"/>
    <n v="63"/>
    <m/>
    <n v="999.64672139188508"/>
    <n v="1976.0098115963765"/>
    <n v="387466.36157826061"/>
    <n v="12291.552190010972"/>
    <n v="139150.58614961093"/>
    <n v="300849.41385038901"/>
  </r>
  <r>
    <n v="6"/>
    <n v="64"/>
    <m/>
    <n v="985.64998522641088"/>
    <n v="1990.0065477618505"/>
    <n v="390442.01811124885"/>
    <n v="12385.948610453228"/>
    <n v="137160.57960184908"/>
    <n v="302839.42039815086"/>
  </r>
  <r>
    <n v="6"/>
    <n v="65"/>
    <m/>
    <n v="971.55410551309762"/>
    <n v="2004.1024274751639"/>
    <n v="393417.67464423709"/>
    <n v="12480.345030895482"/>
    <n v="135156.47717437393"/>
    <n v="304843.52282562602"/>
  </r>
  <r>
    <n v="6"/>
    <n v="66"/>
    <m/>
    <n v="957.35837998514864"/>
    <n v="2018.2981530031129"/>
    <n v="396393.33117722534"/>
    <n v="12574.741451337737"/>
    <n v="133138.1790213708"/>
    <n v="306861.82097862911"/>
  </r>
  <r>
    <n v="6"/>
    <n v="67"/>
    <m/>
    <n v="943.06210140137648"/>
    <n v="2032.5944315868851"/>
    <n v="399368.98771021364"/>
    <n v="12669.137871779993"/>
    <n v="131105.58458978392"/>
    <n v="308894.41541021602"/>
  </r>
  <r>
    <n v="6"/>
    <n v="68"/>
    <m/>
    <n v="928.66455751096953"/>
    <n v="2046.9919754772918"/>
    <n v="402344.64424320194"/>
    <n v="12763.53429222225"/>
    <n v="129058.59261430663"/>
    <n v="310941.40738569334"/>
  </r>
  <r>
    <n v="6"/>
    <n v="69"/>
    <m/>
    <n v="914.16503101800538"/>
    <n v="2061.4915019702562"/>
    <n v="405320.30077619024"/>
    <n v="12857.930712664505"/>
    <n v="126997.10111233637"/>
    <n v="313002.89888766361"/>
  </r>
  <r>
    <n v="6"/>
    <n v="70"/>
    <m/>
    <n v="899.56279954571608"/>
    <n v="2076.0937334425453"/>
    <n v="408295.95730917848"/>
    <n v="12952.327133106761"/>
    <n v="124921.00737889383"/>
    <n v="315078.99262110615"/>
  </r>
  <r>
    <n v="6"/>
    <n v="71"/>
    <m/>
    <n v="884.85713560049805"/>
    <n v="2090.7993973877633"/>
    <n v="411271.61384216679"/>
    <n v="13046.723553549016"/>
    <n v="122830.20798150607"/>
    <n v="317169.79201849393"/>
  </r>
  <r>
    <n v="6"/>
    <n v="72"/>
    <m/>
    <n v="870.0473065356681"/>
    <n v="2105.6092264525932"/>
    <n v="414247.27037515503"/>
    <n v="13141.119973991272"/>
    <n v="120724.59875505348"/>
    <n v="319275.40124494652"/>
  </r>
  <r>
    <n v="7"/>
    <n v="73"/>
    <m/>
    <n v="855.13257451496213"/>
    <n v="2120.5239584732994"/>
    <n v="417222.92690814327"/>
    <n v="12850.015916925753"/>
    <n v="118604.07479658017"/>
    <n v="321395.92520341981"/>
  </r>
  <r>
    <n v="7"/>
    <n v="74"/>
    <m/>
    <n v="840.11219647577627"/>
    <n v="2135.5443365124852"/>
    <n v="420198.58344113157"/>
    <n v="12941.662927063866"/>
    <n v="116468.53046006769"/>
    <n v="323531.46953993232"/>
  </r>
  <r>
    <n v="7"/>
    <n v="75"/>
    <m/>
    <n v="824.98542409214622"/>
    <n v="2150.6711088961151"/>
    <n v="423174.23997411982"/>
    <n v="13033.309937201977"/>
    <n v="114317.85935117157"/>
    <n v="325682.14064882841"/>
  </r>
  <r>
    <n v="7"/>
    <n v="76"/>
    <m/>
    <n v="809.75150373746544"/>
    <n v="2165.9050292507959"/>
    <n v="426149.89650710806"/>
    <n v="13124.956947340088"/>
    <n v="112151.95432192078"/>
    <n v="327848.04567807919"/>
  </r>
  <r>
    <n v="7"/>
    <n v="77"/>
    <m/>
    <n v="794.40967644693899"/>
    <n v="2181.2468565413224"/>
    <n v="429125.5530400963"/>
    <n v="13216.603957478199"/>
    <n v="109970.70746537946"/>
    <n v="330029.2925346205"/>
  </r>
  <r>
    <n v="7"/>
    <n v="78"/>
    <m/>
    <n v="778.95917787977123"/>
    <n v="2196.6973551084902"/>
    <n v="432101.2095730846"/>
    <n v="13308.250967616312"/>
    <n v="107774.01011027096"/>
    <n v="332225.98988972901"/>
  </r>
  <r>
    <n v="7"/>
    <n v="79"/>
    <m/>
    <n v="763.39923828108601"/>
    <n v="2212.2572947071753"/>
    <n v="435076.86610607285"/>
    <n v="13399.897977754425"/>
    <n v="105561.75281556378"/>
    <n v="334438.24718443619"/>
  </r>
  <r>
    <n v="7"/>
    <n v="80"/>
    <m/>
    <n v="747.72908244357689"/>
    <n v="2227.9274505446847"/>
    <n v="438052.52263906109"/>
    <n v="13491.544987892536"/>
    <n v="103333.8253650191"/>
    <n v="336666.17463498085"/>
  </r>
  <r>
    <n v="7"/>
    <n v="81"/>
    <m/>
    <n v="731.94792966888542"/>
    <n v="2243.7086033193759"/>
    <n v="441028.17917204933"/>
    <n v="13583.191998030647"/>
    <n v="101090.11676169973"/>
    <n v="338909.88323830022"/>
  </r>
  <r>
    <n v="7"/>
    <n v="82"/>
    <m/>
    <n v="716.05499372870645"/>
    <n v="2259.601539259555"/>
    <n v="444003.83570503758"/>
    <n v="13674.839008168758"/>
    <n v="98830.515222440168"/>
    <n v="341169.48477755976"/>
  </r>
  <r>
    <n v="7"/>
    <n v="83"/>
    <m/>
    <n v="700.04948282561793"/>
    <n v="2275.6070501626436"/>
    <n v="446979.49223802582"/>
    <n v="13766.486018306869"/>
    <n v="96554.90817227753"/>
    <n v="343445.09182772238"/>
  </r>
  <r>
    <n v="7"/>
    <n v="84"/>
    <m/>
    <n v="683.93059955363253"/>
    <n v="2291.725933434629"/>
    <n v="449955.14877101406"/>
    <n v="13858.13302844498"/>
    <n v="94263.182238842899"/>
    <n v="345736.817761157"/>
  </r>
  <r>
    <n v="8"/>
    <n v="85"/>
    <m/>
    <n v="667.69754085847057"/>
    <n v="2307.9589921297911"/>
    <n v="452930.80530400231"/>
    <n v="13543.47576561465"/>
    <n v="91955.223246713111"/>
    <n v="348044.77675328677"/>
  </r>
  <r>
    <n v="8"/>
    <n v="86"/>
    <m/>
    <n v="651.34949799755123"/>
    <n v="2324.3070349907102"/>
    <n v="455906.46183699055"/>
    <n v="13632.45344536039"/>
    <n v="89630.916211722404"/>
    <n v="350369.08378827746"/>
  </r>
  <r>
    <n v="8"/>
    <n v="87"/>
    <m/>
    <n v="634.88565649970042"/>
    <n v="2340.770876488561"/>
    <n v="458882.11836997885"/>
    <n v="13721.43112510613"/>
    <n v="87290.145335233843"/>
    <n v="352709.854664766"/>
  </r>
  <r>
    <n v="8"/>
    <n v="88"/>
    <m/>
    <n v="618.30519612457317"/>
    <n v="2357.3513368636882"/>
    <n v="461857.77490296715"/>
    <n v="13810.408804851872"/>
    <n v="84932.793998370151"/>
    <n v="355067.2060016297"/>
  </r>
  <r>
    <n v="8"/>
    <n v="89"/>
    <m/>
    <n v="601.60729082178864"/>
    <n v="2374.0492421664731"/>
    <n v="464833.4314359554"/>
    <n v="13899.38648459761"/>
    <n v="82558.744756203683"/>
    <n v="357441.25524379616"/>
  </r>
  <r>
    <n v="8"/>
    <n v="90"/>
    <m/>
    <n v="584.79110868977614"/>
    <n v="2390.8654242984853"/>
    <n v="467809.0879689437"/>
    <n v="13988.364164343351"/>
    <n v="80167.879331905191"/>
    <n v="359832.12066809466"/>
  </r>
  <r>
    <n v="8"/>
    <n v="91"/>
    <m/>
    <n v="567.85581193432847"/>
    <n v="2407.8007210539331"/>
    <n v="470784.74450193194"/>
    <n v="14077.341844089091"/>
    <n v="77760.078610851255"/>
    <n v="362239.92138914857"/>
  </r>
  <r>
    <n v="8"/>
    <n v="92"/>
    <m/>
    <n v="550.80055682686304"/>
    <n v="2424.8559761613983"/>
    <n v="473760.40103492019"/>
    <n v="14166.319523834829"/>
    <n v="75335.222634689853"/>
    <n v="364664.77736530994"/>
  </r>
  <r>
    <n v="8"/>
    <n v="93"/>
    <m/>
    <n v="533.6244936623865"/>
    <n v="2442.0320393258748"/>
    <n v="476736.05756790843"/>
    <n v="14255.297203580569"/>
    <n v="72893.19059536398"/>
    <n v="367106.8094046358"/>
  </r>
  <r>
    <n v="8"/>
    <n v="94"/>
    <m/>
    <n v="516.3267667171616"/>
    <n v="2459.3297662710997"/>
    <n v="479711.71410089673"/>
    <n v="14344.274883326309"/>
    <n v="70433.860829092882"/>
    <n v="369566.13917090691"/>
  </r>
  <r>
    <n v="8"/>
    <n v="95"/>
    <m/>
    <n v="498.90651420607463"/>
    <n v="2476.750018782187"/>
    <n v="482687.37063388503"/>
    <n v="14433.25256307205"/>
    <n v="67957.110810310696"/>
    <n v="372042.88918968913"/>
  </r>
  <r>
    <n v="8"/>
    <n v="96"/>
    <m/>
    <n v="481.36286823970084"/>
    <n v="2494.2936647485608"/>
    <n v="485663.02716687327"/>
    <n v="14522.230242817788"/>
    <n v="65462.817145562134"/>
    <n v="374537.18285443768"/>
  </r>
  <r>
    <n v="9"/>
    <n v="97"/>
    <m/>
    <n v="463.69495478106518"/>
    <n v="2511.9615782071965"/>
    <n v="488638.68369986152"/>
    <n v="14185.638759770414"/>
    <n v="62950.855567354934"/>
    <n v="377049.14443264488"/>
  </r>
  <r>
    <n v="9"/>
    <n v="98"/>
    <m/>
    <n v="445.90189360209752"/>
    <n v="2529.7546393861639"/>
    <n v="491614.34023284976"/>
    <n v="14272.024856610937"/>
    <n v="60421.100927968771"/>
    <n v="379578.89907203102"/>
  </r>
  <r>
    <n v="9"/>
    <n v="99"/>
    <m/>
    <n v="427.98279823977879"/>
    <n v="2547.6737347484827"/>
    <n v="494589.99676583806"/>
    <n v="14358.410953451463"/>
    <n v="57873.42719322029"/>
    <n v="382126.57280677953"/>
  </r>
  <r>
    <n v="9"/>
    <n v="100"/>
    <m/>
    <n v="409.9367759519771"/>
    <n v="2565.7197570362841"/>
    <n v="497565.65329882636"/>
    <n v="14444.797050291987"/>
    <n v="55307.707436184006"/>
    <n v="384692.29256381583"/>
  </r>
  <r>
    <n v="9"/>
    <n v="101"/>
    <m/>
    <n v="391.76292767297008"/>
    <n v="2583.8936053152916"/>
    <n v="500541.30983181461"/>
    <n v="14531.183147132511"/>
    <n v="52723.813830868712"/>
    <n v="387276.18616913114"/>
  </r>
  <r>
    <n v="9"/>
    <n v="102"/>
    <m/>
    <n v="373.46034796865342"/>
    <n v="2602.196185019608"/>
    <n v="503516.96636480291"/>
    <n v="14617.569243973036"/>
    <n v="50121.617645849103"/>
    <n v="389878.38235415076"/>
  </r>
  <r>
    <n v="9"/>
    <n v="103"/>
    <m/>
    <n v="355.02812499143118"/>
    <n v="2620.6284079968304"/>
    <n v="506492.62289779121"/>
    <n v="14703.955340813562"/>
    <n v="47500.989237852271"/>
    <n v="392499.01076214761"/>
  </r>
  <r>
    <n v="9"/>
    <n v="104"/>
    <m/>
    <n v="336.46534043478692"/>
    <n v="2639.1911925534746"/>
    <n v="509468.27943077951"/>
    <n v="14790.341437654086"/>
    <n v="44861.798045298798"/>
    <n v="395138.2019547011"/>
  </r>
  <r>
    <n v="9"/>
    <n v="105"/>
    <m/>
    <n v="317.77106948753317"/>
    <n v="2657.8854635007283"/>
    <n v="512443.93596376781"/>
    <n v="14876.72753449461"/>
    <n v="42203.912581798068"/>
    <n v="397796.08741820185"/>
  </r>
  <r>
    <n v="9"/>
    <n v="106"/>
    <m/>
    <n v="298.94438078773635"/>
    <n v="2676.712152200525"/>
    <n v="515419.59249675606"/>
    <n v="14963.113631335134"/>
    <n v="39527.200429597542"/>
    <n v="400472.79957040236"/>
  </r>
  <r>
    <n v="9"/>
    <n v="107"/>
    <m/>
    <n v="279.98433637631598"/>
    <n v="2695.6721966119453"/>
    <n v="518395.2490297443"/>
    <n v="15049.499728175657"/>
    <n v="36831.528232985598"/>
    <n v="403168.4717670143"/>
  </r>
  <r>
    <n v="9"/>
    <n v="108"/>
    <m/>
    <n v="260.8899916503147"/>
    <n v="2714.7665413379468"/>
    <n v="521370.90556273254"/>
    <n v="15135.885825016181"/>
    <n v="34116.761691647655"/>
    <n v="405883.23830835224"/>
  </r>
  <r>
    <n v="10"/>
    <n v="109"/>
    <m/>
    <n v="241.66039531583758"/>
    <n v="2733.9961376724241"/>
    <n v="524346.56209572079"/>
    <n v="14778.904778501657"/>
    <n v="31382.76555397523"/>
    <n v="408617.23444602464"/>
  </r>
  <r>
    <n v="10"/>
    <n v="110"/>
    <m/>
    <n v="222.29458934065789"/>
    <n v="2753.3619436476038"/>
    <n v="527322.21862870909"/>
    <n v="14862.774775434205"/>
    <n v="28629.403610327627"/>
    <n v="411370.59638967225"/>
  </r>
  <r>
    <n v="10"/>
    <n v="111"/>
    <m/>
    <n v="202.79160890648737"/>
    <n v="2772.864924081774"/>
    <n v="530297.87516169727"/>
    <n v="14946.644772366752"/>
    <n v="25856.538686245854"/>
    <n v="414143.46131375403"/>
  </r>
  <r>
    <n v="10"/>
    <n v="112"/>
    <m/>
    <n v="183.15048236090817"/>
    <n v="2792.5060506273535"/>
    <n v="533273.53169468546"/>
    <n v="15030.514769299296"/>
    <n v="23064.0326356185"/>
    <n v="416935.96736438136"/>
  </r>
  <r>
    <n v="10"/>
    <n v="113"/>
    <m/>
    <n v="163.37023116896438"/>
    <n v="2812.286301819297"/>
    <n v="536249.18822767364"/>
    <n v="15114.384766231842"/>
    <n v="20251.746333799201"/>
    <n v="419748.25366620068"/>
  </r>
  <r>
    <n v="10"/>
    <n v="114"/>
    <m/>
    <n v="143.44986986441103"/>
    <n v="2832.2066631238504"/>
    <n v="539224.84476066183"/>
    <n v="15198.254763164387"/>
    <n v="17419.539670675353"/>
    <n v="422580.46032932453"/>
  </r>
  <r>
    <n v="10"/>
    <n v="115"/>
    <m/>
    <n v="123.38840600061708"/>
    <n v="2852.2681269876443"/>
    <n v="542200.50129365001"/>
    <n v="15282.124760096933"/>
    <n v="14567.271543687708"/>
    <n v="425432.72845631215"/>
  </r>
  <r>
    <n v="10"/>
    <n v="116"/>
    <m/>
    <n v="103.18484010112127"/>
    <n v="2872.4716928871403"/>
    <n v="545176.15782663831"/>
    <n v="15365.994757029481"/>
    <n v="11694.799850800568"/>
    <n v="428305.20014919929"/>
  </r>
  <r>
    <n v="10"/>
    <n v="117"/>
    <m/>
    <n v="82.838165609837361"/>
    <n v="2892.8183673784242"/>
    <n v="548151.81435962662"/>
    <n v="15449.864753962029"/>
    <n v="8801.9814834221434"/>
    <n v="431198.01851657772"/>
  </r>
  <r>
    <n v="10"/>
    <n v="118"/>
    <m/>
    <n v="62.347368840906853"/>
    <n v="2913.3091641473547"/>
    <n v="551127.47089261492"/>
    <n v="15533.734750894579"/>
    <n v="5888.6723192747886"/>
    <n v="434111.32768072508"/>
  </r>
  <r>
    <n v="10"/>
    <n v="119"/>
    <m/>
    <n v="41.711428928196419"/>
    <n v="2933.9451040600652"/>
    <n v="554103.12742560322"/>
    <n v="15617.604747827127"/>
    <n v="2954.7272152147234"/>
    <n v="437045.27278478513"/>
  </r>
  <r>
    <n v="10"/>
    <n v="120"/>
    <m/>
    <n v="20.929317774437624"/>
    <n v="2954.7272152138239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s v=""/>
    <m/>
    <m/>
    <n v="6.3713893420451022E-12"/>
    <n v="0"/>
    <n v="557078.78395859152"/>
    <n v="15701.474744759675"/>
    <n v="8.9949026005342603E-10"/>
    <n v="439999.99999999895"/>
  </r>
  <r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0F93E4-67F1-4313-B04C-C8E9DA56E7F2}" name="PivotTable3" cacheId="104" dataOnRows="1" applyNumberFormats="0" applyBorderFormats="0" applyFontFormats="0" applyPatternFormats="0" applyAlignmentFormats="0" applyWidthHeightFormats="1" dataCaption="Yrs" grandTotalCaption="Total" updatedVersion="8" minRefreshableVersion="3" useAutoFormatting="1" itemPrintTitles="1" mergeItem="1" createdVersion="8" indent="0" outline="1" outlineData="1" multipleFieldFilters="0" colHeaderCaption=" ">
  <location ref="B14:C21" firstHeaderRow="1" firstDataRow="1" firstDataCol="1"/>
  <pivotFields count="11">
    <pivotField showAll="0" sortType="ascending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numFmtId="164" showAll="0"/>
    <pivotField dataField="1" numFmtId="164" showAll="0"/>
    <pivotField dragToRow="0" dragToCol="0" dragToPage="0" showAll="0" defaultSubtotal="0"/>
    <pivotField dragToRow="0" dragToCol="0" dragToPage="0" showAll="0" defaultSubtotal="0"/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dataFields count="7">
    <dataField name="Capital " fld="2" baseField="0" baseItem="0"/>
    <dataField name="Principal " fld="4" baseField="0" baseItem="0"/>
    <dataField name="Interest " fld="3" baseField="0" baseItem="0"/>
    <dataField name="Out-Of-Pocket " fld="5" subtotal="max" baseField="0" baseItem="0"/>
    <dataField name="Max of Out-of-Pocket USD Equiv" fld="6" subtotal="max" baseField="0" baseItem="0"/>
    <dataField name="Debt Balance" fld="7" subtotal="min" baseField="0" baseItem="0" numFmtId="164"/>
    <dataField name="Equity " fld="8" subtotal="max" baseField="0" baseItem="0" numFmtId="164"/>
  </dataFields>
  <formats count="2">
    <format dxfId="171">
      <pivotArea field="-2" type="button" dataOnly="0" labelOnly="1" outline="0" axis="axisRow" fieldPosition="0"/>
    </format>
    <format dxfId="170">
      <pivotArea outline="0" collapsedLevelsAreSubtotals="1" fieldPosition="0"/>
    </format>
  </formats>
  <pivotTableStyleInfo name="PivotStyleDark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A540-D98B-4DD0-AF9A-652F56211A70}">
  <dimension ref="A1:O36"/>
  <sheetViews>
    <sheetView tabSelected="1" workbookViewId="0">
      <selection activeCell="J20" sqref="J20"/>
    </sheetView>
  </sheetViews>
  <sheetFormatPr defaultRowHeight="15" x14ac:dyDescent="0.25"/>
  <cols>
    <col min="2" max="2" width="29" bestFit="1" customWidth="1"/>
    <col min="3" max="5" width="8.140625" bestFit="1" customWidth="1"/>
    <col min="6" max="63" width="6.5703125" bestFit="1" customWidth="1"/>
    <col min="64" max="64" width="7.28515625" bestFit="1" customWidth="1"/>
    <col min="65" max="365" width="6.5703125" bestFit="1" customWidth="1"/>
  </cols>
  <sheetData>
    <row r="1" spans="1:15" x14ac:dyDescent="0.25">
      <c r="C1" t="s">
        <v>27</v>
      </c>
      <c r="D1" t="s">
        <v>28</v>
      </c>
    </row>
    <row r="2" spans="1:15" x14ac:dyDescent="0.25">
      <c r="B2" s="12" t="s">
        <v>20</v>
      </c>
      <c r="C2" s="14">
        <v>440000</v>
      </c>
      <c r="D2" s="14">
        <f>C2/26.4</f>
        <v>16666.666666666668</v>
      </c>
    </row>
    <row r="3" spans="1:15" x14ac:dyDescent="0.25">
      <c r="A3" s="19"/>
      <c r="B3" s="18" t="s">
        <v>21</v>
      </c>
      <c r="C3" s="20">
        <v>200000</v>
      </c>
      <c r="D3" s="20">
        <f>C3/26.4</f>
        <v>7575.757575757576</v>
      </c>
    </row>
    <row r="4" spans="1:15" x14ac:dyDescent="0.25">
      <c r="B4" s="12" t="s">
        <v>4</v>
      </c>
      <c r="C4" s="24">
        <v>10</v>
      </c>
      <c r="D4" s="24"/>
    </row>
    <row r="5" spans="1:15" x14ac:dyDescent="0.25">
      <c r="B5" s="12" t="s">
        <v>19</v>
      </c>
      <c r="C5" s="26">
        <v>8.5000000000000006E-2</v>
      </c>
      <c r="D5" s="26"/>
      <c r="O5" s="4"/>
    </row>
    <row r="6" spans="1:15" x14ac:dyDescent="0.25">
      <c r="B6" s="12" t="s">
        <v>5</v>
      </c>
      <c r="C6" s="13">
        <f>(C2-C3)*(C5/12)*((1+(C5/12))^(C4*12))/((1+(C5/12))^(C4*12)-1)</f>
        <v>2975.6565329882615</v>
      </c>
      <c r="D6" s="13">
        <f>C6/26.4</f>
        <v>112.71426261319172</v>
      </c>
      <c r="O6" s="5"/>
    </row>
    <row r="7" spans="1:15" x14ac:dyDescent="0.25">
      <c r="B7" s="1"/>
      <c r="C7" s="10"/>
      <c r="D7" s="11"/>
      <c r="O7" s="5"/>
    </row>
    <row r="8" spans="1:15" x14ac:dyDescent="0.25">
      <c r="B8" s="1" t="s">
        <v>23</v>
      </c>
      <c r="C8" s="22" t="s">
        <v>24</v>
      </c>
      <c r="D8" s="23" t="s">
        <v>25</v>
      </c>
      <c r="E8" s="23" t="s">
        <v>26</v>
      </c>
      <c r="O8" s="6"/>
    </row>
    <row r="9" spans="1:15" x14ac:dyDescent="0.25">
      <c r="A9" s="19"/>
      <c r="B9" s="18" t="s">
        <v>17</v>
      </c>
      <c r="C9" s="20">
        <v>1000000</v>
      </c>
      <c r="D9" s="20">
        <f>(1+4.5%)^C4*C2</f>
        <v>683306.54556247394</v>
      </c>
      <c r="E9" s="20">
        <f>(1+8.5%)^C4*C2</f>
        <v>994832.71444367059</v>
      </c>
      <c r="H9" s="25"/>
    </row>
    <row r="10" spans="1:15" x14ac:dyDescent="0.25">
      <c r="A10" s="19"/>
      <c r="B10" s="18" t="s">
        <v>31</v>
      </c>
      <c r="C10" s="20">
        <f>C9/((26.4)*(1+3.5%)^C4)</f>
        <v>26852.985367794401</v>
      </c>
      <c r="D10" s="20">
        <f>D9/((26.4)*(1+3.5%)^C4)</f>
        <v>18348.820669707253</v>
      </c>
      <c r="E10" s="20">
        <f>E9/((26.4)*(1+3.5%)^C4)</f>
        <v>26714.228324359072</v>
      </c>
      <c r="H10" s="25"/>
    </row>
    <row r="11" spans="1:15" x14ac:dyDescent="0.25">
      <c r="A11" s="19"/>
      <c r="B11" s="18" t="s">
        <v>22</v>
      </c>
      <c r="C11" s="21">
        <f>(C9/GETPIVOTDATA("Out-Of-Pocket ",$B$14))^(1/$C$4)-1</f>
        <v>6.0250139100429978E-2</v>
      </c>
      <c r="D11" s="21">
        <f>(D9/GETPIVOTDATA("Out-Of-Pocket ",$B$14))^(1/$C$4)-1</f>
        <v>2.0633681509538926E-2</v>
      </c>
      <c r="E11" s="21">
        <f>(E9/GETPIVOTDATA("Out-Of-Pocket ",$B$14))^(1/$C$4)-1</f>
        <v>5.9700999462057203E-2</v>
      </c>
    </row>
    <row r="12" spans="1:15" x14ac:dyDescent="0.25">
      <c r="B12" s="12" t="s">
        <v>18</v>
      </c>
      <c r="C12" s="9">
        <f>(C9-GETPIVOTDATA("Out-Of-Pocket ",$B$14))/C9</f>
        <v>0.44292121604140849</v>
      </c>
      <c r="D12" s="9">
        <f>(D9-GETPIVOTDATA("Out-Of-Pocket ",$B$14))/D9</f>
        <v>0.18473079531233841</v>
      </c>
      <c r="E12" s="9">
        <f>(E9-GETPIVOTDATA("Out-Of-Pocket ",$B$14))/E9</f>
        <v>0.44002767915596686</v>
      </c>
    </row>
    <row r="14" spans="1:15" x14ac:dyDescent="0.25">
      <c r="B14" s="8" t="s">
        <v>1</v>
      </c>
      <c r="C14" s="16"/>
    </row>
    <row r="15" spans="1:15" x14ac:dyDescent="0.25">
      <c r="B15" s="7" t="s">
        <v>11</v>
      </c>
      <c r="C15" s="17">
        <v>200000</v>
      </c>
    </row>
    <row r="16" spans="1:15" x14ac:dyDescent="0.25">
      <c r="B16" s="7" t="s">
        <v>13</v>
      </c>
      <c r="C16" s="17">
        <v>239999.99999999901</v>
      </c>
    </row>
    <row r="17" spans="2:3" x14ac:dyDescent="0.25">
      <c r="B17" s="7" t="s">
        <v>12</v>
      </c>
      <c r="C17" s="17">
        <v>117078.78395859234</v>
      </c>
    </row>
    <row r="18" spans="2:3" x14ac:dyDescent="0.25">
      <c r="B18" s="7" t="s">
        <v>14</v>
      </c>
      <c r="C18" s="17">
        <v>557078.78395859152</v>
      </c>
    </row>
    <row r="19" spans="2:3" x14ac:dyDescent="0.25">
      <c r="B19" s="7" t="s">
        <v>30</v>
      </c>
      <c r="C19" s="17">
        <v>15701.474744759675</v>
      </c>
    </row>
    <row r="20" spans="2:3" x14ac:dyDescent="0.25">
      <c r="B20" s="7" t="s">
        <v>15</v>
      </c>
      <c r="C20" s="17">
        <v>8.9949026005342603E-10</v>
      </c>
    </row>
    <row r="21" spans="2:3" x14ac:dyDescent="0.25">
      <c r="B21" s="7" t="s">
        <v>16</v>
      </c>
      <c r="C21" s="17">
        <v>439999.99999999895</v>
      </c>
    </row>
    <row r="34" spans="3:15" x14ac:dyDescent="0.25"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3:15" x14ac:dyDescent="0.25"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3:15" ht="34.5" customHeight="1" x14ac:dyDescent="0.25"/>
  </sheetData>
  <mergeCells count="2">
    <mergeCell ref="C5:D5"/>
    <mergeCell ref="C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FBD4-4D52-4893-A07E-9DC5C6534E6B}">
  <dimension ref="A1:K362"/>
  <sheetViews>
    <sheetView topLeftCell="A327" workbookViewId="0">
      <selection activeCell="K362" sqref="K362"/>
    </sheetView>
  </sheetViews>
  <sheetFormatPr defaultRowHeight="15" x14ac:dyDescent="0.25"/>
  <cols>
    <col min="1" max="1" width="4.85546875" bestFit="1" customWidth="1"/>
    <col min="2" max="2" width="7.5703125" bestFit="1" customWidth="1"/>
    <col min="3" max="3" width="7.28515625" bestFit="1" customWidth="1"/>
    <col min="4" max="4" width="7.5703125" bestFit="1" customWidth="1"/>
    <col min="5" max="5" width="9" bestFit="1" customWidth="1"/>
    <col min="6" max="7" width="7.28515625" bestFit="1" customWidth="1"/>
  </cols>
  <sheetData>
    <row r="1" spans="1:9" ht="60" x14ac:dyDescent="0.25">
      <c r="A1" s="15" t="s">
        <v>10</v>
      </c>
      <c r="B1" s="15" t="s">
        <v>9</v>
      </c>
      <c r="C1" s="15" t="s">
        <v>0</v>
      </c>
      <c r="D1" s="15" t="s">
        <v>7</v>
      </c>
      <c r="E1" s="15" t="s">
        <v>3</v>
      </c>
      <c r="F1" s="15" t="s">
        <v>8</v>
      </c>
      <c r="G1" s="15" t="s">
        <v>29</v>
      </c>
      <c r="H1" s="15" t="s">
        <v>6</v>
      </c>
      <c r="I1" s="15" t="s">
        <v>2</v>
      </c>
    </row>
    <row r="2" spans="1:9" x14ac:dyDescent="0.25">
      <c r="A2">
        <f t="shared" ref="A2:A33" si="0">IF(ISBLANK(B2),"",CEILING(B2/12,1))</f>
        <v>0</v>
      </c>
      <c r="B2">
        <v>0</v>
      </c>
      <c r="C2" s="3">
        <f>Sheet1!C3</f>
        <v>200000</v>
      </c>
      <c r="F2">
        <f>C2+D2+E2</f>
        <v>200000</v>
      </c>
      <c r="G2">
        <f>IFERROR(F2/(26.4*(1+3%)^A2),G1)</f>
        <v>7575.757575757576</v>
      </c>
      <c r="H2" s="3">
        <f>Sheet1!C2-C2</f>
        <v>240000</v>
      </c>
      <c r="I2" s="3">
        <f>C2+E2</f>
        <v>200000</v>
      </c>
    </row>
    <row r="3" spans="1:9" x14ac:dyDescent="0.25">
      <c r="A3">
        <f t="shared" si="0"/>
        <v>1</v>
      </c>
      <c r="B3" s="2" cm="1">
        <f t="array" ref="B3:B122">_xlfn.SEQUENCE(12*Sheet1!C4,1,1,1)</f>
        <v>1</v>
      </c>
      <c r="D3" s="3">
        <f>H2*Sheet1!$C$5/12</f>
        <v>1700</v>
      </c>
      <c r="E3" s="3">
        <f>IF(H2&lt;0.01,0,Sheet1!$C$6-D3)</f>
        <v>1275.6565329882615</v>
      </c>
      <c r="F3" s="3">
        <f t="shared" ref="F3:F34" si="1">F2+D3+E3</f>
        <v>202975.65653298827</v>
      </c>
      <c r="G3">
        <f t="shared" ref="G3:G66" si="2">IFERROR(F3/(26.4*(1+3%)^A3),G2)</f>
        <v>7464.5357654085128</v>
      </c>
      <c r="H3" s="3">
        <f t="shared" ref="H3:H34" si="3">H2-E3</f>
        <v>238724.34346701173</v>
      </c>
      <c r="I3" s="3">
        <f t="shared" ref="I3:I34" si="4">E3+I2</f>
        <v>201275.65653298827</v>
      </c>
    </row>
    <row r="4" spans="1:9" x14ac:dyDescent="0.25">
      <c r="A4">
        <f t="shared" si="0"/>
        <v>1</v>
      </c>
      <c r="B4" s="2">
        <v>2</v>
      </c>
      <c r="D4" s="3">
        <f>H3*Sheet1!$C$5/12</f>
        <v>1690.964099558</v>
      </c>
      <c r="E4" s="3">
        <f>IF(H3&lt;0.01,0,Sheet1!$C$6-D4)</f>
        <v>1284.6924334302614</v>
      </c>
      <c r="F4" s="3">
        <f t="shared" si="1"/>
        <v>205951.31306597654</v>
      </c>
      <c r="G4">
        <f t="shared" si="2"/>
        <v>7573.9670883339413</v>
      </c>
      <c r="H4" s="3">
        <f t="shared" si="3"/>
        <v>237439.65103358147</v>
      </c>
      <c r="I4" s="3">
        <f t="shared" si="4"/>
        <v>202560.34896641853</v>
      </c>
    </row>
    <row r="5" spans="1:9" x14ac:dyDescent="0.25">
      <c r="A5">
        <f t="shared" si="0"/>
        <v>1</v>
      </c>
      <c r="B5" s="2">
        <v>3</v>
      </c>
      <c r="D5" s="3">
        <f>H4*Sheet1!$C$5/12</f>
        <v>1681.8641948212023</v>
      </c>
      <c r="E5" s="3">
        <f>IF(H4&lt;0.01,0,Sheet1!$C$6-D5)</f>
        <v>1293.7923381670591</v>
      </c>
      <c r="F5" s="3">
        <f t="shared" si="1"/>
        <v>208926.96959896479</v>
      </c>
      <c r="G5">
        <f t="shared" si="2"/>
        <v>7683.3984112593698</v>
      </c>
      <c r="H5" s="3">
        <f t="shared" si="3"/>
        <v>236145.85869541441</v>
      </c>
      <c r="I5" s="3">
        <f t="shared" si="4"/>
        <v>203854.14130458559</v>
      </c>
    </row>
    <row r="6" spans="1:9" x14ac:dyDescent="0.25">
      <c r="A6">
        <f t="shared" si="0"/>
        <v>1</v>
      </c>
      <c r="B6" s="2">
        <v>4</v>
      </c>
      <c r="D6" s="3">
        <f>H5*Sheet1!$C$5/12</f>
        <v>1672.6998324258523</v>
      </c>
      <c r="E6" s="3">
        <f>IF(H5&lt;0.01,0,Sheet1!$C$6-D6)</f>
        <v>1302.9567005624092</v>
      </c>
      <c r="F6" s="3">
        <f t="shared" si="1"/>
        <v>211902.62613195306</v>
      </c>
      <c r="G6">
        <f t="shared" si="2"/>
        <v>7792.8297341847992</v>
      </c>
      <c r="H6" s="3">
        <f t="shared" si="3"/>
        <v>234842.901994852</v>
      </c>
      <c r="I6" s="3">
        <f t="shared" si="4"/>
        <v>205157.098005148</v>
      </c>
    </row>
    <row r="7" spans="1:9" x14ac:dyDescent="0.25">
      <c r="A7">
        <f t="shared" si="0"/>
        <v>1</v>
      </c>
      <c r="B7" s="2">
        <v>5</v>
      </c>
      <c r="D7" s="3">
        <f>H6*Sheet1!$C$5/12</f>
        <v>1663.4705557968684</v>
      </c>
      <c r="E7" s="3">
        <f>IF(H6&lt;0.01,0,Sheet1!$C$6-D7)</f>
        <v>1312.185977191393</v>
      </c>
      <c r="F7" s="3">
        <f t="shared" si="1"/>
        <v>214878.28266494133</v>
      </c>
      <c r="G7">
        <f t="shared" si="2"/>
        <v>7902.2610571102286</v>
      </c>
      <c r="H7" s="3">
        <f t="shared" si="3"/>
        <v>233530.7160176606</v>
      </c>
      <c r="I7" s="3">
        <f t="shared" si="4"/>
        <v>206469.2839823394</v>
      </c>
    </row>
    <row r="8" spans="1:9" x14ac:dyDescent="0.25">
      <c r="A8">
        <f t="shared" si="0"/>
        <v>1</v>
      </c>
      <c r="B8" s="2">
        <v>6</v>
      </c>
      <c r="D8" s="3">
        <f>H7*Sheet1!$C$5/12</f>
        <v>1654.1759051250958</v>
      </c>
      <c r="E8" s="3">
        <f>IF(H7&lt;0.01,0,Sheet1!$C$6-D8)</f>
        <v>1321.4806278631656</v>
      </c>
      <c r="F8" s="3">
        <f t="shared" si="1"/>
        <v>217853.93919792961</v>
      </c>
      <c r="G8">
        <f t="shared" si="2"/>
        <v>8011.6923800356581</v>
      </c>
      <c r="H8" s="3">
        <f t="shared" si="3"/>
        <v>232209.23538979742</v>
      </c>
      <c r="I8" s="3">
        <f t="shared" si="4"/>
        <v>207790.76461020258</v>
      </c>
    </row>
    <row r="9" spans="1:9" x14ac:dyDescent="0.25">
      <c r="A9">
        <f t="shared" si="0"/>
        <v>1</v>
      </c>
      <c r="B9" s="2">
        <v>7</v>
      </c>
      <c r="D9" s="3">
        <f>H8*Sheet1!$C$5/12</f>
        <v>1644.8154173443984</v>
      </c>
      <c r="E9" s="3">
        <f>IF(H8&lt;0.01,0,Sheet1!$C$6-D9)</f>
        <v>1330.8411156438631</v>
      </c>
      <c r="F9" s="3">
        <f t="shared" si="1"/>
        <v>220829.59573091785</v>
      </c>
      <c r="G9">
        <f t="shared" si="2"/>
        <v>8121.1237029610857</v>
      </c>
      <c r="H9" s="3">
        <f t="shared" si="3"/>
        <v>230878.39427415357</v>
      </c>
      <c r="I9" s="3">
        <f t="shared" si="4"/>
        <v>209121.60572584643</v>
      </c>
    </row>
    <row r="10" spans="1:9" x14ac:dyDescent="0.25">
      <c r="A10">
        <f t="shared" si="0"/>
        <v>1</v>
      </c>
      <c r="B10" s="2">
        <v>8</v>
      </c>
      <c r="D10" s="3">
        <f>H9*Sheet1!$C$5/12</f>
        <v>1635.3886261085879</v>
      </c>
      <c r="E10" s="3">
        <f>IF(H9&lt;0.01,0,Sheet1!$C$6-D10)</f>
        <v>1340.2679068796735</v>
      </c>
      <c r="F10" s="3">
        <f t="shared" si="1"/>
        <v>223805.25226390612</v>
      </c>
      <c r="G10">
        <f t="shared" si="2"/>
        <v>8230.5550258865151</v>
      </c>
      <c r="H10" s="3">
        <f t="shared" si="3"/>
        <v>229538.12636727389</v>
      </c>
      <c r="I10" s="3">
        <f t="shared" si="4"/>
        <v>210461.87363272611</v>
      </c>
    </row>
    <row r="11" spans="1:9" x14ac:dyDescent="0.25">
      <c r="A11">
        <f t="shared" si="0"/>
        <v>1</v>
      </c>
      <c r="B11" s="2">
        <v>9</v>
      </c>
      <c r="D11" s="3">
        <f>H10*Sheet1!$C$5/12</f>
        <v>1625.8950617681901</v>
      </c>
      <c r="E11" s="3">
        <f>IF(H10&lt;0.01,0,Sheet1!$C$6-D11)</f>
        <v>1349.7614712200714</v>
      </c>
      <c r="F11" s="3">
        <f t="shared" si="1"/>
        <v>226780.90879689436</v>
      </c>
      <c r="G11">
        <f t="shared" si="2"/>
        <v>8339.9863488119427</v>
      </c>
      <c r="H11" s="3">
        <f t="shared" si="3"/>
        <v>228188.36489605383</v>
      </c>
      <c r="I11" s="3">
        <f t="shared" si="4"/>
        <v>211811.63510394617</v>
      </c>
    </row>
    <row r="12" spans="1:9" x14ac:dyDescent="0.25">
      <c r="A12">
        <f t="shared" si="0"/>
        <v>1</v>
      </c>
      <c r="B12" s="2">
        <v>10</v>
      </c>
      <c r="D12" s="3">
        <f>H11*Sheet1!$C$5/12</f>
        <v>1616.3342513470479</v>
      </c>
      <c r="E12" s="3">
        <f>IF(H11&lt;0.01,0,Sheet1!$C$6-D12)</f>
        <v>1359.3222816412135</v>
      </c>
      <c r="F12" s="3">
        <f t="shared" si="1"/>
        <v>229756.56532988264</v>
      </c>
      <c r="G12">
        <f t="shared" si="2"/>
        <v>8449.4176717373721</v>
      </c>
      <c r="H12" s="3">
        <f t="shared" si="3"/>
        <v>226829.04261441261</v>
      </c>
      <c r="I12" s="3">
        <f t="shared" si="4"/>
        <v>213170.95738558739</v>
      </c>
    </row>
    <row r="13" spans="1:9" x14ac:dyDescent="0.25">
      <c r="A13">
        <f t="shared" si="0"/>
        <v>1</v>
      </c>
      <c r="B13" s="2">
        <v>11</v>
      </c>
      <c r="D13" s="3">
        <f>H12*Sheet1!$C$5/12</f>
        <v>1606.7057185187562</v>
      </c>
      <c r="E13" s="3">
        <f>IF(H12&lt;0.01,0,Sheet1!$C$6-D13)</f>
        <v>1368.9508144695053</v>
      </c>
      <c r="F13" s="3">
        <f t="shared" si="1"/>
        <v>232732.22186287091</v>
      </c>
      <c r="G13">
        <f t="shared" si="2"/>
        <v>8558.8489946628015</v>
      </c>
      <c r="H13" s="3">
        <f t="shared" si="3"/>
        <v>225460.0917999431</v>
      </c>
      <c r="I13" s="3">
        <f t="shared" si="4"/>
        <v>214539.9082000569</v>
      </c>
    </row>
    <row r="14" spans="1:9" x14ac:dyDescent="0.25">
      <c r="A14">
        <f t="shared" si="0"/>
        <v>1</v>
      </c>
      <c r="B14" s="2">
        <v>12</v>
      </c>
      <c r="D14" s="3">
        <f>H13*Sheet1!$C$5/12</f>
        <v>1597.0089835829303</v>
      </c>
      <c r="E14" s="3">
        <f>IF(H13&lt;0.01,0,Sheet1!$C$6-D14)</f>
        <v>1378.6475494053311</v>
      </c>
      <c r="F14" s="3">
        <f t="shared" si="1"/>
        <v>235707.87839585918</v>
      </c>
      <c r="G14">
        <f t="shared" si="2"/>
        <v>8668.2803175882309</v>
      </c>
      <c r="H14" s="3">
        <f t="shared" si="3"/>
        <v>224081.44425053775</v>
      </c>
      <c r="I14" s="3">
        <f t="shared" si="4"/>
        <v>215918.55574946225</v>
      </c>
    </row>
    <row r="15" spans="1:9" x14ac:dyDescent="0.25">
      <c r="A15">
        <f t="shared" si="0"/>
        <v>2</v>
      </c>
      <c r="B15" s="2">
        <v>13</v>
      </c>
      <c r="D15" s="3">
        <f>H14*Sheet1!$C$5/12</f>
        <v>1587.2435634413093</v>
      </c>
      <c r="E15" s="3">
        <f>IF(H14&lt;0.01,0,Sheet1!$C$6-D15)</f>
        <v>1388.4129695469521</v>
      </c>
      <c r="F15" s="3">
        <f t="shared" si="1"/>
        <v>238683.53492884742</v>
      </c>
      <c r="G15">
        <f t="shared" si="2"/>
        <v>8522.0501364210286</v>
      </c>
      <c r="H15" s="3">
        <f t="shared" si="3"/>
        <v>222693.03128099081</v>
      </c>
      <c r="I15" s="3">
        <f t="shared" si="4"/>
        <v>217306.96871900919</v>
      </c>
    </row>
    <row r="16" spans="1:9" x14ac:dyDescent="0.25">
      <c r="A16">
        <f t="shared" si="0"/>
        <v>2</v>
      </c>
      <c r="B16" s="2">
        <v>14</v>
      </c>
      <c r="D16" s="3">
        <f>H15*Sheet1!$C$5/12</f>
        <v>1577.4089715736848</v>
      </c>
      <c r="E16" s="3">
        <f>IF(H15&lt;0.01,0,Sheet1!$C$6-D16)</f>
        <v>1398.2475614145767</v>
      </c>
      <c r="F16" s="3">
        <f t="shared" si="1"/>
        <v>241659.1914618357</v>
      </c>
      <c r="G16">
        <f t="shared" si="2"/>
        <v>8628.294139261252</v>
      </c>
      <c r="H16" s="3">
        <f t="shared" si="3"/>
        <v>221294.78371957623</v>
      </c>
      <c r="I16" s="3">
        <f t="shared" si="4"/>
        <v>218705.21628042377</v>
      </c>
    </row>
    <row r="17" spans="1:9" x14ac:dyDescent="0.25">
      <c r="A17">
        <f t="shared" si="0"/>
        <v>2</v>
      </c>
      <c r="B17" s="2">
        <v>15</v>
      </c>
      <c r="D17" s="3">
        <f>H16*Sheet1!$C$5/12</f>
        <v>1567.5047180136651</v>
      </c>
      <c r="E17" s="3">
        <f>IF(H16&lt;0.01,0,Sheet1!$C$6-D17)</f>
        <v>1408.1518149745964</v>
      </c>
      <c r="F17" s="3">
        <f t="shared" si="1"/>
        <v>244634.84799482394</v>
      </c>
      <c r="G17">
        <f t="shared" si="2"/>
        <v>8734.5381421014736</v>
      </c>
      <c r="H17" s="3">
        <f t="shared" si="3"/>
        <v>219886.63190460164</v>
      </c>
      <c r="I17" s="3">
        <f t="shared" si="4"/>
        <v>220113.36809539836</v>
      </c>
    </row>
    <row r="18" spans="1:9" x14ac:dyDescent="0.25">
      <c r="A18">
        <f t="shared" si="0"/>
        <v>2</v>
      </c>
      <c r="B18" s="2">
        <v>16</v>
      </c>
      <c r="D18" s="3">
        <f>H17*Sheet1!$C$5/12</f>
        <v>1557.5303093242617</v>
      </c>
      <c r="E18" s="3">
        <f>IF(H17&lt;0.01,0,Sheet1!$C$6-D18)</f>
        <v>1418.1262236639998</v>
      </c>
      <c r="F18" s="3">
        <f t="shared" si="1"/>
        <v>247610.50452781221</v>
      </c>
      <c r="G18">
        <f t="shared" si="2"/>
        <v>8840.7821449416952</v>
      </c>
      <c r="H18" s="3">
        <f t="shared" si="3"/>
        <v>218468.50568093764</v>
      </c>
      <c r="I18" s="3">
        <f t="shared" si="4"/>
        <v>221531.49431906236</v>
      </c>
    </row>
    <row r="19" spans="1:9" x14ac:dyDescent="0.25">
      <c r="A19">
        <f t="shared" si="0"/>
        <v>2</v>
      </c>
      <c r="B19" s="2">
        <v>17</v>
      </c>
      <c r="D19" s="3">
        <f>H18*Sheet1!$C$5/12</f>
        <v>1547.4852485733084</v>
      </c>
      <c r="E19" s="3">
        <f>IF(H18&lt;0.01,0,Sheet1!$C$6-D19)</f>
        <v>1428.1712844149531</v>
      </c>
      <c r="F19" s="3">
        <f t="shared" si="1"/>
        <v>250586.16106080046</v>
      </c>
      <c r="G19">
        <f t="shared" si="2"/>
        <v>8947.0261477819167</v>
      </c>
      <c r="H19" s="3">
        <f t="shared" si="3"/>
        <v>217040.3343965227</v>
      </c>
      <c r="I19" s="3">
        <f t="shared" si="4"/>
        <v>222959.6656034773</v>
      </c>
    </row>
    <row r="20" spans="1:9" x14ac:dyDescent="0.25">
      <c r="A20">
        <f t="shared" si="0"/>
        <v>2</v>
      </c>
      <c r="B20" s="2">
        <v>18</v>
      </c>
      <c r="D20" s="3">
        <f>H19*Sheet1!$C$5/12</f>
        <v>1537.3690353087025</v>
      </c>
      <c r="E20" s="3">
        <f>IF(H19&lt;0.01,0,Sheet1!$C$6-D20)</f>
        <v>1438.287497679559</v>
      </c>
      <c r="F20" s="3">
        <f t="shared" si="1"/>
        <v>253561.81759378873</v>
      </c>
      <c r="G20">
        <f t="shared" si="2"/>
        <v>9053.2701506221401</v>
      </c>
      <c r="H20" s="3">
        <f t="shared" si="3"/>
        <v>215602.04689884314</v>
      </c>
      <c r="I20" s="3">
        <f t="shared" si="4"/>
        <v>224397.95310115686</v>
      </c>
    </row>
    <row r="21" spans="1:9" x14ac:dyDescent="0.25">
      <c r="A21">
        <f t="shared" si="0"/>
        <v>2</v>
      </c>
      <c r="B21" s="2">
        <v>19</v>
      </c>
      <c r="D21" s="3">
        <f>H20*Sheet1!$C$5/12</f>
        <v>1527.1811655334723</v>
      </c>
      <c r="E21" s="3">
        <f>IF(H20&lt;0.01,0,Sheet1!$C$6-D21)</f>
        <v>1448.4753674547892</v>
      </c>
      <c r="F21" s="3">
        <f t="shared" si="1"/>
        <v>256537.47412677697</v>
      </c>
      <c r="G21">
        <f t="shared" si="2"/>
        <v>9159.5141534623617</v>
      </c>
      <c r="H21" s="3">
        <f t="shared" si="3"/>
        <v>214153.57153138836</v>
      </c>
      <c r="I21" s="3">
        <f t="shared" si="4"/>
        <v>225846.42846861164</v>
      </c>
    </row>
    <row r="22" spans="1:9" x14ac:dyDescent="0.25">
      <c r="A22">
        <f t="shared" si="0"/>
        <v>2</v>
      </c>
      <c r="B22" s="2">
        <v>20</v>
      </c>
      <c r="D22" s="3">
        <f>H21*Sheet1!$C$5/12</f>
        <v>1516.9211316806677</v>
      </c>
      <c r="E22" s="3">
        <f>IF(H21&lt;0.01,0,Sheet1!$C$6-D22)</f>
        <v>1458.7354013075937</v>
      </c>
      <c r="F22" s="3">
        <f t="shared" si="1"/>
        <v>259513.13065976521</v>
      </c>
      <c r="G22">
        <f t="shared" si="2"/>
        <v>9265.7581563025833</v>
      </c>
      <c r="H22" s="3">
        <f t="shared" si="3"/>
        <v>212694.83613008077</v>
      </c>
      <c r="I22" s="3">
        <f t="shared" si="4"/>
        <v>227305.16386991923</v>
      </c>
    </row>
    <row r="23" spans="1:9" x14ac:dyDescent="0.25">
      <c r="A23">
        <f t="shared" si="0"/>
        <v>2</v>
      </c>
      <c r="B23" s="2">
        <v>21</v>
      </c>
      <c r="D23" s="3">
        <f>H22*Sheet1!$C$5/12</f>
        <v>1506.588422588072</v>
      </c>
      <c r="E23" s="3">
        <f>IF(H22&lt;0.01,0,Sheet1!$C$6-D23)</f>
        <v>1469.0681104001894</v>
      </c>
      <c r="F23" s="3">
        <f t="shared" si="1"/>
        <v>262488.78719275346</v>
      </c>
      <c r="G23">
        <f t="shared" si="2"/>
        <v>9372.0021591428049</v>
      </c>
      <c r="H23" s="3">
        <f t="shared" si="3"/>
        <v>211225.76801968057</v>
      </c>
      <c r="I23" s="3">
        <f t="shared" si="4"/>
        <v>228774.23198031943</v>
      </c>
    </row>
    <row r="24" spans="1:9" x14ac:dyDescent="0.25">
      <c r="A24">
        <f t="shared" si="0"/>
        <v>2</v>
      </c>
      <c r="B24" s="2">
        <v>22</v>
      </c>
      <c r="D24" s="3">
        <f>H23*Sheet1!$C$5/12</f>
        <v>1496.1825234727376</v>
      </c>
      <c r="E24" s="3">
        <f>IF(H23&lt;0.01,0,Sheet1!$C$6-D24)</f>
        <v>1479.4740095155239</v>
      </c>
      <c r="F24" s="3">
        <f t="shared" si="1"/>
        <v>265464.44372574176</v>
      </c>
      <c r="G24">
        <f t="shared" si="2"/>
        <v>9478.2461619830283</v>
      </c>
      <c r="H24" s="3">
        <f t="shared" si="3"/>
        <v>209746.29401016506</v>
      </c>
      <c r="I24" s="3">
        <f t="shared" si="4"/>
        <v>230253.70598983494</v>
      </c>
    </row>
    <row r="25" spans="1:9" x14ac:dyDescent="0.25">
      <c r="A25">
        <f t="shared" si="0"/>
        <v>2</v>
      </c>
      <c r="B25" s="2">
        <v>23</v>
      </c>
      <c r="D25" s="3">
        <f>H24*Sheet1!$C$5/12</f>
        <v>1485.7029159053361</v>
      </c>
      <c r="E25" s="3">
        <f>IF(H24&lt;0.01,0,Sheet1!$C$6-D25)</f>
        <v>1489.9536170829253</v>
      </c>
      <c r="F25" s="3">
        <f t="shared" si="1"/>
        <v>268440.10025873</v>
      </c>
      <c r="G25">
        <f t="shared" si="2"/>
        <v>9584.4901648232499</v>
      </c>
      <c r="H25" s="3">
        <f t="shared" si="3"/>
        <v>208256.34039308212</v>
      </c>
      <c r="I25" s="3">
        <f t="shared" si="4"/>
        <v>231743.65960691788</v>
      </c>
    </row>
    <row r="26" spans="1:9" x14ac:dyDescent="0.25">
      <c r="A26">
        <f t="shared" si="0"/>
        <v>2</v>
      </c>
      <c r="B26" s="2">
        <v>24</v>
      </c>
      <c r="D26" s="3">
        <f>H25*Sheet1!$C$5/12</f>
        <v>1475.1490777843319</v>
      </c>
      <c r="E26" s="3">
        <f>IF(H25&lt;0.01,0,Sheet1!$C$6-D26)</f>
        <v>1500.5074552039296</v>
      </c>
      <c r="F26" s="3">
        <f t="shared" si="1"/>
        <v>271415.75679171825</v>
      </c>
      <c r="G26">
        <f t="shared" si="2"/>
        <v>9690.7341676634715</v>
      </c>
      <c r="H26" s="3">
        <f t="shared" si="3"/>
        <v>206755.83293787821</v>
      </c>
      <c r="I26" s="3">
        <f t="shared" si="4"/>
        <v>233244.16706212179</v>
      </c>
    </row>
    <row r="27" spans="1:9" x14ac:dyDescent="0.25">
      <c r="A27">
        <f t="shared" si="0"/>
        <v>3</v>
      </c>
      <c r="B27" s="2">
        <v>25</v>
      </c>
      <c r="D27" s="3">
        <f>H26*Sheet1!$C$5/12</f>
        <v>1464.5204833099708</v>
      </c>
      <c r="E27" s="3">
        <f>IF(H26&lt;0.01,0,Sheet1!$C$6-D27)</f>
        <v>1511.1360496782906</v>
      </c>
      <c r="F27" s="3">
        <f t="shared" si="1"/>
        <v>274391.41332470655</v>
      </c>
      <c r="G27">
        <f t="shared" si="2"/>
        <v>9511.6292917511601</v>
      </c>
      <c r="H27" s="3">
        <f t="shared" si="3"/>
        <v>205244.69688819992</v>
      </c>
      <c r="I27" s="3">
        <f t="shared" si="4"/>
        <v>234755.30311180008</v>
      </c>
    </row>
    <row r="28" spans="1:9" x14ac:dyDescent="0.25">
      <c r="A28">
        <f t="shared" si="0"/>
        <v>3</v>
      </c>
      <c r="B28" s="2">
        <v>26</v>
      </c>
      <c r="D28" s="3">
        <f>H27*Sheet1!$C$5/12</f>
        <v>1453.8166029580827</v>
      </c>
      <c r="E28" s="3">
        <f>IF(H27&lt;0.01,0,Sheet1!$C$6-D28)</f>
        <v>1521.8399300301787</v>
      </c>
      <c r="F28" s="3">
        <f t="shared" si="1"/>
        <v>277367.06985769479</v>
      </c>
      <c r="G28">
        <f t="shared" si="2"/>
        <v>9614.7788090717622</v>
      </c>
      <c r="H28" s="3">
        <f t="shared" si="3"/>
        <v>203722.85695816975</v>
      </c>
      <c r="I28" s="3">
        <f t="shared" si="4"/>
        <v>236277.14304183025</v>
      </c>
    </row>
    <row r="29" spans="1:9" x14ac:dyDescent="0.25">
      <c r="A29">
        <f t="shared" si="0"/>
        <v>3</v>
      </c>
      <c r="B29" s="2">
        <v>27</v>
      </c>
      <c r="D29" s="3">
        <f>H28*Sheet1!$C$5/12</f>
        <v>1443.0369034537025</v>
      </c>
      <c r="E29" s="3">
        <f>IF(H28&lt;0.01,0,Sheet1!$C$6-D29)</f>
        <v>1532.619629534559</v>
      </c>
      <c r="F29" s="3">
        <f t="shared" si="1"/>
        <v>280342.72639068303</v>
      </c>
      <c r="G29">
        <f t="shared" si="2"/>
        <v>9717.9283263923662</v>
      </c>
      <c r="H29" s="3">
        <f t="shared" si="3"/>
        <v>202190.23732863518</v>
      </c>
      <c r="I29" s="3">
        <f t="shared" si="4"/>
        <v>237809.76267136482</v>
      </c>
    </row>
    <row r="30" spans="1:9" x14ac:dyDescent="0.25">
      <c r="A30">
        <f t="shared" si="0"/>
        <v>3</v>
      </c>
      <c r="B30" s="2">
        <v>28</v>
      </c>
      <c r="D30" s="3">
        <f>H29*Sheet1!$C$5/12</f>
        <v>1432.1808477444993</v>
      </c>
      <c r="E30" s="3">
        <f>IF(H29&lt;0.01,0,Sheet1!$C$6-D30)</f>
        <v>1543.4756852437622</v>
      </c>
      <c r="F30" s="3">
        <f t="shared" si="1"/>
        <v>283318.38292367134</v>
      </c>
      <c r="G30">
        <f t="shared" si="2"/>
        <v>9821.077843712972</v>
      </c>
      <c r="H30" s="3">
        <f t="shared" si="3"/>
        <v>200646.76164339142</v>
      </c>
      <c r="I30" s="3">
        <f t="shared" si="4"/>
        <v>239353.23835660858</v>
      </c>
    </row>
    <row r="31" spans="1:9" x14ac:dyDescent="0.25">
      <c r="A31">
        <f t="shared" si="0"/>
        <v>3</v>
      </c>
      <c r="B31" s="2">
        <v>29</v>
      </c>
      <c r="D31" s="3">
        <f>H30*Sheet1!$C$5/12</f>
        <v>1421.2478949740225</v>
      </c>
      <c r="E31" s="3">
        <f>IF(H30&lt;0.01,0,Sheet1!$C$6-D31)</f>
        <v>1554.4086380142389</v>
      </c>
      <c r="F31" s="3">
        <f t="shared" si="1"/>
        <v>286294.03945665958</v>
      </c>
      <c r="G31">
        <f t="shared" si="2"/>
        <v>9924.227361033576</v>
      </c>
      <c r="H31" s="3">
        <f t="shared" si="3"/>
        <v>199092.3530053772</v>
      </c>
      <c r="I31" s="3">
        <f t="shared" si="4"/>
        <v>240907.6469946228</v>
      </c>
    </row>
    <row r="32" spans="1:9" x14ac:dyDescent="0.25">
      <c r="A32">
        <f t="shared" si="0"/>
        <v>3</v>
      </c>
      <c r="B32" s="2">
        <v>30</v>
      </c>
      <c r="D32" s="3">
        <f>H31*Sheet1!$C$5/12</f>
        <v>1410.237500454755</v>
      </c>
      <c r="E32" s="3">
        <f>IF(H31&lt;0.01,0,Sheet1!$C$6-D32)</f>
        <v>1565.4190325335064</v>
      </c>
      <c r="F32" s="3">
        <f t="shared" si="1"/>
        <v>289269.69598964782</v>
      </c>
      <c r="G32">
        <f t="shared" si="2"/>
        <v>10027.376878354178</v>
      </c>
      <c r="H32" s="3">
        <f t="shared" si="3"/>
        <v>197526.93397284369</v>
      </c>
      <c r="I32" s="3">
        <f t="shared" si="4"/>
        <v>242473.06602715631</v>
      </c>
    </row>
    <row r="33" spans="1:9" x14ac:dyDescent="0.25">
      <c r="A33">
        <f t="shared" si="0"/>
        <v>3</v>
      </c>
      <c r="B33" s="2">
        <v>31</v>
      </c>
      <c r="D33" s="3">
        <f>H32*Sheet1!$C$5/12</f>
        <v>1399.1491156409763</v>
      </c>
      <c r="E33" s="3">
        <f>IF(H32&lt;0.01,0,Sheet1!$C$6-D33)</f>
        <v>1576.5074173472851</v>
      </c>
      <c r="F33" s="3">
        <f t="shared" si="1"/>
        <v>292245.35252263607</v>
      </c>
      <c r="G33">
        <f t="shared" si="2"/>
        <v>10130.526395674782</v>
      </c>
      <c r="H33" s="3">
        <f t="shared" si="3"/>
        <v>195950.42655549641</v>
      </c>
      <c r="I33" s="3">
        <f t="shared" si="4"/>
        <v>244049.57344450359</v>
      </c>
    </row>
    <row r="34" spans="1:9" x14ac:dyDescent="0.25">
      <c r="A34">
        <f t="shared" ref="A34:A65" si="5">IF(ISBLANK(B34),"",CEILING(B34/12,1))</f>
        <v>3</v>
      </c>
      <c r="B34" s="2">
        <v>32</v>
      </c>
      <c r="D34" s="3">
        <f>H33*Sheet1!$C$5/12</f>
        <v>1387.9821881014329</v>
      </c>
      <c r="E34" s="3">
        <f>IF(H33&lt;0.01,0,Sheet1!$C$6-D34)</f>
        <v>1587.6743448868285</v>
      </c>
      <c r="F34" s="3">
        <f t="shared" si="1"/>
        <v>295221.00905562437</v>
      </c>
      <c r="G34">
        <f t="shared" si="2"/>
        <v>10233.675912995388</v>
      </c>
      <c r="H34" s="3">
        <f t="shared" si="3"/>
        <v>194362.75221060959</v>
      </c>
      <c r="I34" s="3">
        <f t="shared" si="4"/>
        <v>245637.24778939041</v>
      </c>
    </row>
    <row r="35" spans="1:9" x14ac:dyDescent="0.25">
      <c r="A35">
        <f t="shared" si="5"/>
        <v>3</v>
      </c>
      <c r="B35" s="2">
        <v>33</v>
      </c>
      <c r="D35" s="3">
        <f>H34*Sheet1!$C$5/12</f>
        <v>1376.7361614918179</v>
      </c>
      <c r="E35" s="3">
        <f>IF(H34&lt;0.01,0,Sheet1!$C$6-D35)</f>
        <v>1598.9203714964435</v>
      </c>
      <c r="F35" s="3">
        <f t="shared" ref="F35:F66" si="6">F34+D35+E35</f>
        <v>298196.66558861267</v>
      </c>
      <c r="G35">
        <f t="shared" si="2"/>
        <v>10336.825430315994</v>
      </c>
      <c r="H35" s="3">
        <f t="shared" ref="H35:H66" si="7">H34-E35</f>
        <v>192763.83183911315</v>
      </c>
      <c r="I35" s="3">
        <f t="shared" ref="I35:I66" si="8">E35+I34</f>
        <v>247236.16816088685</v>
      </c>
    </row>
    <row r="36" spans="1:9" x14ac:dyDescent="0.25">
      <c r="A36">
        <f t="shared" si="5"/>
        <v>3</v>
      </c>
      <c r="B36" s="2">
        <v>34</v>
      </c>
      <c r="D36" s="3">
        <f>H35*Sheet1!$C$5/12</f>
        <v>1365.4104755270516</v>
      </c>
      <c r="E36" s="3">
        <f>IF(H35&lt;0.01,0,Sheet1!$C$6-D36)</f>
        <v>1610.2460574612098</v>
      </c>
      <c r="F36" s="3">
        <f t="shared" si="6"/>
        <v>301172.32212160091</v>
      </c>
      <c r="G36">
        <f t="shared" si="2"/>
        <v>10439.974947636596</v>
      </c>
      <c r="H36" s="3">
        <f t="shared" si="7"/>
        <v>191153.58578165193</v>
      </c>
      <c r="I36" s="3">
        <f t="shared" si="8"/>
        <v>248846.41421834807</v>
      </c>
    </row>
    <row r="37" spans="1:9" x14ac:dyDescent="0.25">
      <c r="A37">
        <f t="shared" si="5"/>
        <v>3</v>
      </c>
      <c r="B37" s="2">
        <v>35</v>
      </c>
      <c r="D37" s="3">
        <f>H36*Sheet1!$C$5/12</f>
        <v>1354.0045659533678</v>
      </c>
      <c r="E37" s="3">
        <f>IF(H36&lt;0.01,0,Sheet1!$C$6-D37)</f>
        <v>1621.6519670348937</v>
      </c>
      <c r="F37" s="3">
        <f t="shared" si="6"/>
        <v>304147.97865458921</v>
      </c>
      <c r="G37">
        <f t="shared" si="2"/>
        <v>10543.124464957202</v>
      </c>
      <c r="H37" s="3">
        <f t="shared" si="7"/>
        <v>189531.93381461702</v>
      </c>
      <c r="I37" s="3">
        <f t="shared" si="8"/>
        <v>250468.06618538298</v>
      </c>
    </row>
    <row r="38" spans="1:9" x14ac:dyDescent="0.25">
      <c r="A38">
        <f t="shared" si="5"/>
        <v>3</v>
      </c>
      <c r="B38" s="2">
        <v>36</v>
      </c>
      <c r="D38" s="3">
        <f>H37*Sheet1!$C$5/12</f>
        <v>1342.5178645202041</v>
      </c>
      <c r="E38" s="3">
        <f>IF(H37&lt;0.01,0,Sheet1!$C$6-D38)</f>
        <v>1633.1386684680574</v>
      </c>
      <c r="F38" s="3">
        <f t="shared" si="6"/>
        <v>307123.63518757746</v>
      </c>
      <c r="G38">
        <f t="shared" si="2"/>
        <v>10646.273982277806</v>
      </c>
      <c r="H38" s="3">
        <f t="shared" si="7"/>
        <v>187898.79514614897</v>
      </c>
      <c r="I38" s="3">
        <f t="shared" si="8"/>
        <v>252101.20485385103</v>
      </c>
    </row>
    <row r="39" spans="1:9" x14ac:dyDescent="0.25">
      <c r="A39">
        <f t="shared" si="5"/>
        <v>4</v>
      </c>
      <c r="B39" s="2">
        <v>37</v>
      </c>
      <c r="D39" s="3">
        <f>H38*Sheet1!$C$5/12</f>
        <v>1330.9497989518886</v>
      </c>
      <c r="E39" s="3">
        <f>IF(H38&lt;0.01,0,Sheet1!$C$6-D39)</f>
        <v>1644.7067340363728</v>
      </c>
      <c r="F39" s="3">
        <f t="shared" si="6"/>
        <v>310099.29172056576</v>
      </c>
      <c r="G39">
        <f t="shared" si="2"/>
        <v>10436.33349475574</v>
      </c>
      <c r="H39" s="3">
        <f t="shared" si="7"/>
        <v>186254.08841211259</v>
      </c>
      <c r="I39" s="3">
        <f t="shared" si="8"/>
        <v>253745.91158788741</v>
      </c>
    </row>
    <row r="40" spans="1:9" x14ac:dyDescent="0.25">
      <c r="A40">
        <f t="shared" si="5"/>
        <v>4</v>
      </c>
      <c r="B40" s="2">
        <v>38</v>
      </c>
      <c r="D40" s="3">
        <f>H39*Sheet1!$C$5/12</f>
        <v>1319.2997929191308</v>
      </c>
      <c r="E40" s="3">
        <f>IF(H39&lt;0.01,0,Sheet1!$C$6-D40)</f>
        <v>1656.3567400691306</v>
      </c>
      <c r="F40" s="3">
        <f t="shared" si="6"/>
        <v>313074.948253554</v>
      </c>
      <c r="G40">
        <f t="shared" si="2"/>
        <v>10536.478657202928</v>
      </c>
      <c r="H40" s="3">
        <f t="shared" si="7"/>
        <v>184597.73167204345</v>
      </c>
      <c r="I40" s="3">
        <f t="shared" si="8"/>
        <v>255402.26832795655</v>
      </c>
    </row>
    <row r="41" spans="1:9" x14ac:dyDescent="0.25">
      <c r="A41">
        <f t="shared" si="5"/>
        <v>4</v>
      </c>
      <c r="B41" s="2">
        <v>39</v>
      </c>
      <c r="D41" s="3">
        <f>H40*Sheet1!$C$5/12</f>
        <v>1307.5672660103078</v>
      </c>
      <c r="E41" s="3">
        <f>IF(H40&lt;0.01,0,Sheet1!$C$6-D41)</f>
        <v>1668.0892669779537</v>
      </c>
      <c r="F41" s="3">
        <f t="shared" si="6"/>
        <v>316050.6047865423</v>
      </c>
      <c r="G41">
        <f t="shared" si="2"/>
        <v>10636.623819650118</v>
      </c>
      <c r="H41" s="3">
        <f t="shared" si="7"/>
        <v>182929.6424050655</v>
      </c>
      <c r="I41" s="3">
        <f t="shared" si="8"/>
        <v>257070.3575949345</v>
      </c>
    </row>
    <row r="42" spans="1:9" x14ac:dyDescent="0.25">
      <c r="A42">
        <f t="shared" si="5"/>
        <v>4</v>
      </c>
      <c r="B42" s="2">
        <v>40</v>
      </c>
      <c r="D42" s="3">
        <f>H41*Sheet1!$C$5/12</f>
        <v>1295.7516337025475</v>
      </c>
      <c r="E42" s="3">
        <f>IF(H41&lt;0.01,0,Sheet1!$C$6-D42)</f>
        <v>1679.904899285714</v>
      </c>
      <c r="F42" s="3">
        <f t="shared" si="6"/>
        <v>319026.26131953055</v>
      </c>
      <c r="G42">
        <f t="shared" si="2"/>
        <v>10736.768982097305</v>
      </c>
      <c r="H42" s="3">
        <f t="shared" si="7"/>
        <v>181249.73750577978</v>
      </c>
      <c r="I42" s="3">
        <f t="shared" si="8"/>
        <v>258750.26249422022</v>
      </c>
    </row>
    <row r="43" spans="1:9" x14ac:dyDescent="0.25">
      <c r="A43">
        <f t="shared" si="5"/>
        <v>4</v>
      </c>
      <c r="B43" s="2">
        <v>41</v>
      </c>
      <c r="D43" s="3">
        <f>H42*Sheet1!$C$5/12</f>
        <v>1283.8523073326069</v>
      </c>
      <c r="E43" s="3">
        <f>IF(H42&lt;0.01,0,Sheet1!$C$6-D43)</f>
        <v>1691.8042256556546</v>
      </c>
      <c r="F43" s="3">
        <f t="shared" si="6"/>
        <v>322001.91785251885</v>
      </c>
      <c r="G43">
        <f t="shared" si="2"/>
        <v>10836.914144544495</v>
      </c>
      <c r="H43" s="3">
        <f t="shared" si="7"/>
        <v>179557.93328012413</v>
      </c>
      <c r="I43" s="3">
        <f t="shared" si="8"/>
        <v>260442.06671987587</v>
      </c>
    </row>
    <row r="44" spans="1:9" x14ac:dyDescent="0.25">
      <c r="A44">
        <f t="shared" si="5"/>
        <v>4</v>
      </c>
      <c r="B44" s="2">
        <v>42</v>
      </c>
      <c r="D44" s="3">
        <f>H43*Sheet1!$C$5/12</f>
        <v>1271.8686940675459</v>
      </c>
      <c r="E44" s="3">
        <f>IF(H43&lt;0.01,0,Sheet1!$C$6-D44)</f>
        <v>1703.7878389207156</v>
      </c>
      <c r="F44" s="3">
        <f t="shared" si="6"/>
        <v>324977.57438550709</v>
      </c>
      <c r="G44">
        <f t="shared" si="2"/>
        <v>10937.059306991683</v>
      </c>
      <c r="H44" s="3">
        <f t="shared" si="7"/>
        <v>177854.14544120341</v>
      </c>
      <c r="I44" s="3">
        <f t="shared" si="8"/>
        <v>262145.85455879656</v>
      </c>
    </row>
    <row r="45" spans="1:9" x14ac:dyDescent="0.25">
      <c r="A45">
        <f t="shared" si="5"/>
        <v>4</v>
      </c>
      <c r="B45" s="2">
        <v>43</v>
      </c>
      <c r="D45" s="3">
        <f>H44*Sheet1!$C$5/12</f>
        <v>1259.8001968751907</v>
      </c>
      <c r="E45" s="3">
        <f>IF(H44&lt;0.01,0,Sheet1!$C$6-D45)</f>
        <v>1715.8563361130707</v>
      </c>
      <c r="F45" s="3">
        <f t="shared" si="6"/>
        <v>327953.23091849533</v>
      </c>
      <c r="G45">
        <f t="shared" si="2"/>
        <v>11037.204469438871</v>
      </c>
      <c r="H45" s="3">
        <f t="shared" si="7"/>
        <v>176138.28910509034</v>
      </c>
      <c r="I45" s="3">
        <f t="shared" si="8"/>
        <v>263861.71089490963</v>
      </c>
    </row>
    <row r="46" spans="1:9" x14ac:dyDescent="0.25">
      <c r="A46">
        <f t="shared" si="5"/>
        <v>4</v>
      </c>
      <c r="B46" s="2">
        <v>44</v>
      </c>
      <c r="D46" s="3">
        <f>H45*Sheet1!$C$5/12</f>
        <v>1247.6462144943901</v>
      </c>
      <c r="E46" s="3">
        <f>IF(H45&lt;0.01,0,Sheet1!$C$6-D46)</f>
        <v>1728.0103184938714</v>
      </c>
      <c r="F46" s="3">
        <f t="shared" si="6"/>
        <v>330928.88745148358</v>
      </c>
      <c r="G46">
        <f t="shared" si="2"/>
        <v>11137.349631886058</v>
      </c>
      <c r="H46" s="3">
        <f t="shared" si="7"/>
        <v>174410.27878659646</v>
      </c>
      <c r="I46" s="3">
        <f t="shared" si="8"/>
        <v>265589.72121340351</v>
      </c>
    </row>
    <row r="47" spans="1:9" x14ac:dyDescent="0.25">
      <c r="A47">
        <f t="shared" si="5"/>
        <v>4</v>
      </c>
      <c r="B47" s="2">
        <v>45</v>
      </c>
      <c r="D47" s="3">
        <f>H46*Sheet1!$C$5/12</f>
        <v>1235.4061414050584</v>
      </c>
      <c r="E47" s="3">
        <f>IF(H46&lt;0.01,0,Sheet1!$C$6-D47)</f>
        <v>1740.2503915832031</v>
      </c>
      <c r="F47" s="3">
        <f t="shared" si="6"/>
        <v>333904.54398447182</v>
      </c>
      <c r="G47">
        <f t="shared" si="2"/>
        <v>11237.494794333246</v>
      </c>
      <c r="H47" s="3">
        <f t="shared" si="7"/>
        <v>172670.02839501327</v>
      </c>
      <c r="I47" s="3">
        <f t="shared" si="8"/>
        <v>267329.9716049867</v>
      </c>
    </row>
    <row r="48" spans="1:9" x14ac:dyDescent="0.25">
      <c r="A48">
        <f t="shared" si="5"/>
        <v>4</v>
      </c>
      <c r="B48" s="2">
        <v>46</v>
      </c>
      <c r="D48" s="3">
        <f>H47*Sheet1!$C$5/12</f>
        <v>1223.0793677980107</v>
      </c>
      <c r="E48" s="3">
        <f>IF(H47&lt;0.01,0,Sheet1!$C$6-D48)</f>
        <v>1752.5771651902508</v>
      </c>
      <c r="F48" s="3">
        <f t="shared" si="6"/>
        <v>336880.20051746006</v>
      </c>
      <c r="G48">
        <f t="shared" si="2"/>
        <v>11337.639956780435</v>
      </c>
      <c r="H48" s="3">
        <f t="shared" si="7"/>
        <v>170917.45122982303</v>
      </c>
      <c r="I48" s="3">
        <f t="shared" si="8"/>
        <v>269082.54877017695</v>
      </c>
    </row>
    <row r="49" spans="1:9" x14ac:dyDescent="0.25">
      <c r="A49">
        <f t="shared" si="5"/>
        <v>4</v>
      </c>
      <c r="B49" s="2">
        <v>47</v>
      </c>
      <c r="D49" s="3">
        <f>H48*Sheet1!$C$5/12</f>
        <v>1210.6652795445798</v>
      </c>
      <c r="E49" s="3">
        <f>IF(H48&lt;0.01,0,Sheet1!$C$6-D49)</f>
        <v>1764.9912534436817</v>
      </c>
      <c r="F49" s="3">
        <f t="shared" si="6"/>
        <v>339855.85705044837</v>
      </c>
      <c r="G49">
        <f t="shared" si="2"/>
        <v>11437.785119227625</v>
      </c>
      <c r="H49" s="3">
        <f t="shared" si="7"/>
        <v>169152.45997637935</v>
      </c>
      <c r="I49" s="3">
        <f t="shared" si="8"/>
        <v>270847.54002362065</v>
      </c>
    </row>
    <row r="50" spans="1:9" x14ac:dyDescent="0.25">
      <c r="A50">
        <f t="shared" si="5"/>
        <v>4</v>
      </c>
      <c r="B50" s="2">
        <v>48</v>
      </c>
      <c r="D50" s="3">
        <f>H49*Sheet1!$C$5/12</f>
        <v>1198.1632581660206</v>
      </c>
      <c r="E50" s="3">
        <f>IF(H49&lt;0.01,0,Sheet1!$C$6-D50)</f>
        <v>1777.4932748222409</v>
      </c>
      <c r="F50" s="3">
        <f t="shared" si="6"/>
        <v>342831.51358343661</v>
      </c>
      <c r="G50">
        <f t="shared" si="2"/>
        <v>11537.930281674811</v>
      </c>
      <c r="H50" s="3">
        <f t="shared" si="7"/>
        <v>167374.9667015571</v>
      </c>
      <c r="I50" s="3">
        <f t="shared" si="8"/>
        <v>272625.0332984429</v>
      </c>
    </row>
    <row r="51" spans="1:9" x14ac:dyDescent="0.25">
      <c r="A51">
        <f t="shared" si="5"/>
        <v>5</v>
      </c>
      <c r="B51" s="2">
        <v>49</v>
      </c>
      <c r="D51" s="3">
        <f>H50*Sheet1!$C$5/12</f>
        <v>1185.5726808026964</v>
      </c>
      <c r="E51" s="3">
        <f>IF(H50&lt;0.01,0,Sheet1!$C$6-D51)</f>
        <v>1790.0838521855651</v>
      </c>
      <c r="F51" s="3">
        <f t="shared" si="6"/>
        <v>345807.17011642491</v>
      </c>
      <c r="G51">
        <f t="shared" si="2"/>
        <v>11299.102372933983</v>
      </c>
      <c r="H51" s="3">
        <f t="shared" si="7"/>
        <v>165584.88284937153</v>
      </c>
      <c r="I51" s="3">
        <f t="shared" si="8"/>
        <v>274415.11715062847</v>
      </c>
    </row>
    <row r="52" spans="1:9" x14ac:dyDescent="0.25">
      <c r="A52">
        <f t="shared" si="5"/>
        <v>5</v>
      </c>
      <c r="B52" s="2">
        <v>50</v>
      </c>
      <c r="D52" s="3">
        <f>H51*Sheet1!$C$5/12</f>
        <v>1172.8929201830485</v>
      </c>
      <c r="E52" s="3">
        <f>IF(H51&lt;0.01,0,Sheet1!$C$6-D52)</f>
        <v>1802.7636128052129</v>
      </c>
      <c r="F52" s="3">
        <f t="shared" si="6"/>
        <v>348782.82664941321</v>
      </c>
      <c r="G52">
        <f t="shared" si="2"/>
        <v>11396.330685989507</v>
      </c>
      <c r="H52" s="3">
        <f t="shared" si="7"/>
        <v>163782.1192365663</v>
      </c>
      <c r="I52" s="3">
        <f t="shared" si="8"/>
        <v>276217.8807634337</v>
      </c>
    </row>
    <row r="53" spans="1:9" x14ac:dyDescent="0.25">
      <c r="A53">
        <f t="shared" si="5"/>
        <v>5</v>
      </c>
      <c r="B53" s="2">
        <v>51</v>
      </c>
      <c r="D53" s="3">
        <f>H52*Sheet1!$C$5/12</f>
        <v>1160.1233445923447</v>
      </c>
      <c r="E53" s="3">
        <f>IF(H52&lt;0.01,0,Sheet1!$C$6-D53)</f>
        <v>1815.5331883959168</v>
      </c>
      <c r="F53" s="3">
        <f t="shared" si="6"/>
        <v>351758.48318240145</v>
      </c>
      <c r="G53">
        <f t="shared" si="2"/>
        <v>11493.55899904503</v>
      </c>
      <c r="H53" s="3">
        <f t="shared" si="7"/>
        <v>161966.58604817037</v>
      </c>
      <c r="I53" s="3">
        <f t="shared" si="8"/>
        <v>278033.4139518296</v>
      </c>
    </row>
    <row r="54" spans="1:9" x14ac:dyDescent="0.25">
      <c r="A54">
        <f t="shared" si="5"/>
        <v>5</v>
      </c>
      <c r="B54" s="2">
        <v>52</v>
      </c>
      <c r="D54" s="3">
        <f>H53*Sheet1!$C$5/12</f>
        <v>1147.2633178412068</v>
      </c>
      <c r="E54" s="3">
        <f>IF(H53&lt;0.01,0,Sheet1!$C$6-D54)</f>
        <v>1828.3932151470547</v>
      </c>
      <c r="F54" s="3">
        <f t="shared" si="6"/>
        <v>354734.13971538976</v>
      </c>
      <c r="G54">
        <f t="shared" si="2"/>
        <v>11590.787312100552</v>
      </c>
      <c r="H54" s="3">
        <f t="shared" si="7"/>
        <v>160138.19283302332</v>
      </c>
      <c r="I54" s="3">
        <f t="shared" si="8"/>
        <v>279861.80716697668</v>
      </c>
    </row>
    <row r="55" spans="1:9" x14ac:dyDescent="0.25">
      <c r="A55">
        <f t="shared" si="5"/>
        <v>5</v>
      </c>
      <c r="B55" s="2">
        <v>53</v>
      </c>
      <c r="D55" s="3">
        <f>H54*Sheet1!$C$5/12</f>
        <v>1134.3121992339154</v>
      </c>
      <c r="E55" s="3">
        <f>IF(H54&lt;0.01,0,Sheet1!$C$6-D55)</f>
        <v>1841.3443337543461</v>
      </c>
      <c r="F55" s="3">
        <f t="shared" si="6"/>
        <v>357709.796248378</v>
      </c>
      <c r="G55">
        <f t="shared" si="2"/>
        <v>11688.015625156075</v>
      </c>
      <c r="H55" s="3">
        <f t="shared" si="7"/>
        <v>158296.84849926896</v>
      </c>
      <c r="I55" s="3">
        <f t="shared" si="8"/>
        <v>281703.15150073101</v>
      </c>
    </row>
    <row r="56" spans="1:9" x14ac:dyDescent="0.25">
      <c r="A56">
        <f t="shared" si="5"/>
        <v>5</v>
      </c>
      <c r="B56" s="2">
        <v>54</v>
      </c>
      <c r="D56" s="3">
        <f>H55*Sheet1!$C$5/12</f>
        <v>1121.2693435364886</v>
      </c>
      <c r="E56" s="3">
        <f>IF(H55&lt;0.01,0,Sheet1!$C$6-D56)</f>
        <v>1854.3871894517729</v>
      </c>
      <c r="F56" s="3">
        <f t="shared" si="6"/>
        <v>360685.45278136624</v>
      </c>
      <c r="G56">
        <f t="shared" si="2"/>
        <v>11785.243938211597</v>
      </c>
      <c r="H56" s="3">
        <f t="shared" si="7"/>
        <v>156442.46130981718</v>
      </c>
      <c r="I56" s="3">
        <f t="shared" si="8"/>
        <v>283557.53869018279</v>
      </c>
    </row>
    <row r="57" spans="1:9" x14ac:dyDescent="0.25">
      <c r="A57">
        <f t="shared" si="5"/>
        <v>5</v>
      </c>
      <c r="B57" s="2">
        <v>55</v>
      </c>
      <c r="D57" s="3">
        <f>H56*Sheet1!$C$5/12</f>
        <v>1108.1341009445384</v>
      </c>
      <c r="E57" s="3">
        <f>IF(H56&lt;0.01,0,Sheet1!$C$6-D57)</f>
        <v>1867.522432043723</v>
      </c>
      <c r="F57" s="3">
        <f t="shared" si="6"/>
        <v>363661.10931435454</v>
      </c>
      <c r="G57">
        <f t="shared" si="2"/>
        <v>11882.472251267121</v>
      </c>
      <c r="H57" s="3">
        <f t="shared" si="7"/>
        <v>154574.93887777347</v>
      </c>
      <c r="I57" s="3">
        <f t="shared" si="8"/>
        <v>285425.06112222653</v>
      </c>
    </row>
    <row r="58" spans="1:9" x14ac:dyDescent="0.25">
      <c r="A58">
        <f t="shared" si="5"/>
        <v>5</v>
      </c>
      <c r="B58" s="2">
        <v>56</v>
      </c>
      <c r="D58" s="3">
        <f>H57*Sheet1!$C$5/12</f>
        <v>1094.9058170508954</v>
      </c>
      <c r="E58" s="3">
        <f>IF(H57&lt;0.01,0,Sheet1!$C$6-D58)</f>
        <v>1880.7507159373661</v>
      </c>
      <c r="F58" s="3">
        <f t="shared" si="6"/>
        <v>366636.76584734279</v>
      </c>
      <c r="G58">
        <f t="shared" si="2"/>
        <v>11979.700564322644</v>
      </c>
      <c r="H58" s="3">
        <f t="shared" si="7"/>
        <v>152694.18816183609</v>
      </c>
      <c r="I58" s="3">
        <f t="shared" si="8"/>
        <v>287305.81183816388</v>
      </c>
    </row>
    <row r="59" spans="1:9" x14ac:dyDescent="0.25">
      <c r="A59">
        <f t="shared" si="5"/>
        <v>5</v>
      </c>
      <c r="B59" s="2">
        <v>57</v>
      </c>
      <c r="D59" s="3">
        <f>H58*Sheet1!$C$5/12</f>
        <v>1081.5838328130058</v>
      </c>
      <c r="E59" s="3">
        <f>IF(H58&lt;0.01,0,Sheet1!$C$6-D59)</f>
        <v>1894.0727001752557</v>
      </c>
      <c r="F59" s="3">
        <f t="shared" si="6"/>
        <v>369612.42238033109</v>
      </c>
      <c r="G59">
        <f t="shared" si="2"/>
        <v>12076.928877378168</v>
      </c>
      <c r="H59" s="3">
        <f t="shared" si="7"/>
        <v>150800.11546166084</v>
      </c>
      <c r="I59" s="3">
        <f t="shared" si="8"/>
        <v>289199.88453833916</v>
      </c>
    </row>
    <row r="60" spans="1:9" x14ac:dyDescent="0.25">
      <c r="A60">
        <f t="shared" si="5"/>
        <v>5</v>
      </c>
      <c r="B60" s="2">
        <v>58</v>
      </c>
      <c r="D60" s="3">
        <f>H59*Sheet1!$C$5/12</f>
        <v>1068.1674845200976</v>
      </c>
      <c r="E60" s="3">
        <f>IF(H59&lt;0.01,0,Sheet1!$C$6-D60)</f>
        <v>1907.4890484681639</v>
      </c>
      <c r="F60" s="3">
        <f t="shared" si="6"/>
        <v>372588.07891331939</v>
      </c>
      <c r="G60">
        <f t="shared" si="2"/>
        <v>12174.157190433692</v>
      </c>
      <c r="H60" s="3">
        <f t="shared" si="7"/>
        <v>148892.62641319269</v>
      </c>
      <c r="I60" s="3">
        <f t="shared" si="8"/>
        <v>291107.37358680734</v>
      </c>
    </row>
    <row r="61" spans="1:9" x14ac:dyDescent="0.25">
      <c r="A61">
        <f t="shared" si="5"/>
        <v>5</v>
      </c>
      <c r="B61" s="2">
        <v>59</v>
      </c>
      <c r="D61" s="3">
        <f>H60*Sheet1!$C$5/12</f>
        <v>1054.656103760115</v>
      </c>
      <c r="E61" s="3">
        <f>IF(H60&lt;0.01,0,Sheet1!$C$6-D61)</f>
        <v>1921.0004292281465</v>
      </c>
      <c r="F61" s="3">
        <f t="shared" si="6"/>
        <v>375563.73544630763</v>
      </c>
      <c r="G61">
        <f t="shared" si="2"/>
        <v>12271.385503489213</v>
      </c>
      <c r="H61" s="3">
        <f t="shared" si="7"/>
        <v>146971.62598396454</v>
      </c>
      <c r="I61" s="3">
        <f t="shared" si="8"/>
        <v>293028.37401603546</v>
      </c>
    </row>
    <row r="62" spans="1:9" x14ac:dyDescent="0.25">
      <c r="A62">
        <f t="shared" si="5"/>
        <v>5</v>
      </c>
      <c r="B62" s="2">
        <v>60</v>
      </c>
      <c r="D62" s="3">
        <f>H61*Sheet1!$C$5/12</f>
        <v>1041.0490173864155</v>
      </c>
      <c r="E62" s="3">
        <f>IF(H61&lt;0.01,0,Sheet1!$C$6-D62)</f>
        <v>1934.607515601846</v>
      </c>
      <c r="F62" s="3">
        <f t="shared" si="6"/>
        <v>378539.39197929588</v>
      </c>
      <c r="G62">
        <f t="shared" si="2"/>
        <v>12368.613816544736</v>
      </c>
      <c r="H62" s="3">
        <f t="shared" si="7"/>
        <v>145037.01846836269</v>
      </c>
      <c r="I62" s="3">
        <f t="shared" si="8"/>
        <v>294962.98153163731</v>
      </c>
    </row>
    <row r="63" spans="1:9" x14ac:dyDescent="0.25">
      <c r="A63">
        <f t="shared" si="5"/>
        <v>6</v>
      </c>
      <c r="B63">
        <v>61</v>
      </c>
      <c r="D63" s="3">
        <f>H62*Sheet1!$C$5/12</f>
        <v>1027.3455474842358</v>
      </c>
      <c r="E63" s="3">
        <f>IF(H62&lt;0.01,0,Sheet1!$C$6-D63)</f>
        <v>1948.3109855040257</v>
      </c>
      <c r="F63" s="3">
        <f t="shared" si="6"/>
        <v>381515.04851228412</v>
      </c>
      <c r="G63">
        <f t="shared" si="2"/>
        <v>12102.759349126463</v>
      </c>
      <c r="H63" s="3">
        <f t="shared" si="7"/>
        <v>143088.70748285865</v>
      </c>
      <c r="I63" s="3">
        <f t="shared" si="8"/>
        <v>296911.29251714132</v>
      </c>
    </row>
    <row r="64" spans="1:9" x14ac:dyDescent="0.25">
      <c r="A64">
        <f t="shared" si="5"/>
        <v>6</v>
      </c>
      <c r="B64">
        <v>62</v>
      </c>
      <c r="D64" s="3">
        <f>H63*Sheet1!$C$5/12</f>
        <v>1013.5450113369155</v>
      </c>
      <c r="E64" s="3">
        <f>IF(H63&lt;0.01,0,Sheet1!$C$6-D64)</f>
        <v>1962.1115216513458</v>
      </c>
      <c r="F64" s="3">
        <f t="shared" si="6"/>
        <v>384490.70504527236</v>
      </c>
      <c r="G64">
        <f t="shared" si="2"/>
        <v>12197.155769568719</v>
      </c>
      <c r="H64" s="3">
        <f t="shared" si="7"/>
        <v>141126.59596120729</v>
      </c>
      <c r="I64" s="3">
        <f t="shared" si="8"/>
        <v>298873.40403879265</v>
      </c>
    </row>
    <row r="65" spans="1:9" x14ac:dyDescent="0.25">
      <c r="A65">
        <f t="shared" si="5"/>
        <v>6</v>
      </c>
      <c r="B65">
        <v>63</v>
      </c>
      <c r="D65" s="3">
        <f>H64*Sheet1!$C$5/12</f>
        <v>999.64672139188508</v>
      </c>
      <c r="E65" s="3">
        <f>IF(H64&lt;0.01,0,Sheet1!$C$6-D65)</f>
        <v>1976.0098115963765</v>
      </c>
      <c r="F65" s="3">
        <f t="shared" si="6"/>
        <v>387466.36157826061</v>
      </c>
      <c r="G65">
        <f t="shared" si="2"/>
        <v>12291.552190010972</v>
      </c>
      <c r="H65" s="3">
        <f t="shared" si="7"/>
        <v>139150.58614961093</v>
      </c>
      <c r="I65" s="3">
        <f t="shared" si="8"/>
        <v>300849.41385038901</v>
      </c>
    </row>
    <row r="66" spans="1:9" x14ac:dyDescent="0.25">
      <c r="A66">
        <f t="shared" ref="A66:A80" si="9">IF(ISBLANK(B66),"",CEILING(B66/12,1))</f>
        <v>6</v>
      </c>
      <c r="B66">
        <v>64</v>
      </c>
      <c r="D66" s="3">
        <f>H65*Sheet1!$C$5/12</f>
        <v>985.64998522641088</v>
      </c>
      <c r="E66" s="3">
        <f>IF(H65&lt;0.01,0,Sheet1!$C$6-D66)</f>
        <v>1990.0065477618505</v>
      </c>
      <c r="F66" s="3">
        <f t="shared" si="6"/>
        <v>390442.01811124885</v>
      </c>
      <c r="G66">
        <f t="shared" si="2"/>
        <v>12385.948610453228</v>
      </c>
      <c r="H66" s="3">
        <f t="shared" si="7"/>
        <v>137160.57960184908</v>
      </c>
      <c r="I66" s="3">
        <f t="shared" si="8"/>
        <v>302839.42039815086</v>
      </c>
    </row>
    <row r="67" spans="1:9" x14ac:dyDescent="0.25">
      <c r="A67">
        <f t="shared" si="9"/>
        <v>6</v>
      </c>
      <c r="B67">
        <v>65</v>
      </c>
      <c r="D67" s="3">
        <f>H66*Sheet1!$C$5/12</f>
        <v>971.55410551309762</v>
      </c>
      <c r="E67" s="3">
        <f>IF(H66&lt;0.01,0,Sheet1!$C$6-D67)</f>
        <v>2004.1024274751639</v>
      </c>
      <c r="F67" s="3">
        <f t="shared" ref="F67:F80" si="10">F66+D67+E67</f>
        <v>393417.67464423709</v>
      </c>
      <c r="G67">
        <f t="shared" ref="G67:G130" si="11">IFERROR(F67/(26.4*(1+3%)^A67),G66)</f>
        <v>12480.345030895482</v>
      </c>
      <c r="H67" s="3">
        <f t="shared" ref="H67:H80" si="12">H66-E67</f>
        <v>135156.47717437393</v>
      </c>
      <c r="I67" s="3">
        <f t="shared" ref="I67:I80" si="13">E67+I66</f>
        <v>304843.52282562602</v>
      </c>
    </row>
    <row r="68" spans="1:9" x14ac:dyDescent="0.25">
      <c r="A68">
        <f t="shared" si="9"/>
        <v>6</v>
      </c>
      <c r="B68">
        <v>66</v>
      </c>
      <c r="D68" s="3">
        <f>H67*Sheet1!$C$5/12</f>
        <v>957.35837998514864</v>
      </c>
      <c r="E68" s="3">
        <f>IF(H67&lt;0.01,0,Sheet1!$C$6-D68)</f>
        <v>2018.2981530031129</v>
      </c>
      <c r="F68" s="3">
        <f t="shared" si="10"/>
        <v>396393.33117722534</v>
      </c>
      <c r="G68">
        <f t="shared" si="11"/>
        <v>12574.741451337737</v>
      </c>
      <c r="H68" s="3">
        <f t="shared" si="12"/>
        <v>133138.1790213708</v>
      </c>
      <c r="I68" s="3">
        <f t="shared" si="13"/>
        <v>306861.82097862911</v>
      </c>
    </row>
    <row r="69" spans="1:9" x14ac:dyDescent="0.25">
      <c r="A69">
        <f t="shared" si="9"/>
        <v>6</v>
      </c>
      <c r="B69">
        <v>67</v>
      </c>
      <c r="D69" s="3">
        <f>H68*Sheet1!$C$5/12</f>
        <v>943.06210140137648</v>
      </c>
      <c r="E69" s="3">
        <f>IF(H68&lt;0.01,0,Sheet1!$C$6-D69)</f>
        <v>2032.5944315868851</v>
      </c>
      <c r="F69" s="3">
        <f t="shared" si="10"/>
        <v>399368.98771021364</v>
      </c>
      <c r="G69">
        <f t="shared" si="11"/>
        <v>12669.137871779993</v>
      </c>
      <c r="H69" s="3">
        <f t="shared" si="12"/>
        <v>131105.58458978392</v>
      </c>
      <c r="I69" s="3">
        <f t="shared" si="13"/>
        <v>308894.41541021602</v>
      </c>
    </row>
    <row r="70" spans="1:9" x14ac:dyDescent="0.25">
      <c r="A70">
        <f t="shared" si="9"/>
        <v>6</v>
      </c>
      <c r="B70">
        <v>68</v>
      </c>
      <c r="D70" s="3">
        <f>H69*Sheet1!$C$5/12</f>
        <v>928.66455751096953</v>
      </c>
      <c r="E70" s="3">
        <f>IF(H69&lt;0.01,0,Sheet1!$C$6-D70)</f>
        <v>2046.9919754772918</v>
      </c>
      <c r="F70" s="3">
        <f t="shared" si="10"/>
        <v>402344.64424320194</v>
      </c>
      <c r="G70">
        <f t="shared" si="11"/>
        <v>12763.53429222225</v>
      </c>
      <c r="H70" s="3">
        <f t="shared" si="12"/>
        <v>129058.59261430663</v>
      </c>
      <c r="I70" s="3">
        <f t="shared" si="13"/>
        <v>310941.40738569334</v>
      </c>
    </row>
    <row r="71" spans="1:9" x14ac:dyDescent="0.25">
      <c r="A71">
        <f t="shared" si="9"/>
        <v>6</v>
      </c>
      <c r="B71">
        <v>69</v>
      </c>
      <c r="D71" s="3">
        <f>H70*Sheet1!$C$5/12</f>
        <v>914.16503101800538</v>
      </c>
      <c r="E71" s="3">
        <f>IF(H70&lt;0.01,0,Sheet1!$C$6-D71)</f>
        <v>2061.4915019702562</v>
      </c>
      <c r="F71" s="3">
        <f t="shared" si="10"/>
        <v>405320.30077619024</v>
      </c>
      <c r="G71">
        <f t="shared" si="11"/>
        <v>12857.930712664505</v>
      </c>
      <c r="H71" s="3">
        <f t="shared" si="12"/>
        <v>126997.10111233637</v>
      </c>
      <c r="I71" s="3">
        <f t="shared" si="13"/>
        <v>313002.89888766361</v>
      </c>
    </row>
    <row r="72" spans="1:9" x14ac:dyDescent="0.25">
      <c r="A72">
        <f t="shared" si="9"/>
        <v>6</v>
      </c>
      <c r="B72">
        <v>70</v>
      </c>
      <c r="D72" s="3">
        <f>H71*Sheet1!$C$5/12</f>
        <v>899.56279954571608</v>
      </c>
      <c r="E72" s="3">
        <f>IF(H71&lt;0.01,0,Sheet1!$C$6-D72)</f>
        <v>2076.0937334425453</v>
      </c>
      <c r="F72" s="3">
        <f t="shared" si="10"/>
        <v>408295.95730917848</v>
      </c>
      <c r="G72">
        <f t="shared" si="11"/>
        <v>12952.327133106761</v>
      </c>
      <c r="H72" s="3">
        <f t="shared" si="12"/>
        <v>124921.00737889383</v>
      </c>
      <c r="I72" s="3">
        <f t="shared" si="13"/>
        <v>315078.99262110615</v>
      </c>
    </row>
    <row r="73" spans="1:9" x14ac:dyDescent="0.25">
      <c r="A73">
        <f t="shared" si="9"/>
        <v>6</v>
      </c>
      <c r="B73">
        <v>71</v>
      </c>
      <c r="D73" s="3">
        <f>H72*Sheet1!$C$5/12</f>
        <v>884.85713560049805</v>
      </c>
      <c r="E73" s="3">
        <f>IF(H72&lt;0.01,0,Sheet1!$C$6-D73)</f>
        <v>2090.7993973877633</v>
      </c>
      <c r="F73" s="3">
        <f t="shared" si="10"/>
        <v>411271.61384216679</v>
      </c>
      <c r="G73">
        <f t="shared" si="11"/>
        <v>13046.723553549016</v>
      </c>
      <c r="H73" s="3">
        <f t="shared" si="12"/>
        <v>122830.20798150607</v>
      </c>
      <c r="I73" s="3">
        <f t="shared" si="13"/>
        <v>317169.79201849393</v>
      </c>
    </row>
    <row r="74" spans="1:9" x14ac:dyDescent="0.25">
      <c r="A74">
        <f t="shared" si="9"/>
        <v>6</v>
      </c>
      <c r="B74">
        <v>72</v>
      </c>
      <c r="D74" s="3">
        <f>H73*Sheet1!$C$5/12</f>
        <v>870.0473065356681</v>
      </c>
      <c r="E74" s="3">
        <f>IF(H73&lt;0.01,0,Sheet1!$C$6-D74)</f>
        <v>2105.6092264525932</v>
      </c>
      <c r="F74" s="3">
        <f t="shared" si="10"/>
        <v>414247.27037515503</v>
      </c>
      <c r="G74">
        <f t="shared" si="11"/>
        <v>13141.119973991272</v>
      </c>
      <c r="H74" s="3">
        <f t="shared" si="12"/>
        <v>120724.59875505348</v>
      </c>
      <c r="I74" s="3">
        <f t="shared" si="13"/>
        <v>319275.40124494652</v>
      </c>
    </row>
    <row r="75" spans="1:9" x14ac:dyDescent="0.25">
      <c r="A75">
        <f t="shared" si="9"/>
        <v>7</v>
      </c>
      <c r="B75">
        <v>73</v>
      </c>
      <c r="D75" s="3">
        <f>H74*Sheet1!$C$5/12</f>
        <v>855.13257451496213</v>
      </c>
      <c r="E75" s="3">
        <f>IF(H74&lt;0.01,0,Sheet1!$C$6-D75)</f>
        <v>2120.5239584732994</v>
      </c>
      <c r="F75" s="3">
        <f t="shared" si="10"/>
        <v>417222.92690814327</v>
      </c>
      <c r="G75">
        <f t="shared" si="11"/>
        <v>12850.015916925753</v>
      </c>
      <c r="H75" s="3">
        <f t="shared" si="12"/>
        <v>118604.07479658017</v>
      </c>
      <c r="I75" s="3">
        <f t="shared" si="13"/>
        <v>321395.92520341981</v>
      </c>
    </row>
    <row r="76" spans="1:9" x14ac:dyDescent="0.25">
      <c r="A76">
        <f t="shared" si="9"/>
        <v>7</v>
      </c>
      <c r="B76">
        <v>74</v>
      </c>
      <c r="D76" s="3">
        <f>H75*Sheet1!$C$5/12</f>
        <v>840.11219647577627</v>
      </c>
      <c r="E76" s="3">
        <f>IF(H75&lt;0.01,0,Sheet1!$C$6-D76)</f>
        <v>2135.5443365124852</v>
      </c>
      <c r="F76" s="3">
        <f t="shared" si="10"/>
        <v>420198.58344113157</v>
      </c>
      <c r="G76">
        <f t="shared" si="11"/>
        <v>12941.662927063866</v>
      </c>
      <c r="H76" s="3">
        <f t="shared" si="12"/>
        <v>116468.53046006769</v>
      </c>
      <c r="I76" s="3">
        <f t="shared" si="13"/>
        <v>323531.46953993232</v>
      </c>
    </row>
    <row r="77" spans="1:9" x14ac:dyDescent="0.25">
      <c r="A77">
        <f t="shared" si="9"/>
        <v>7</v>
      </c>
      <c r="B77">
        <v>75</v>
      </c>
      <c r="D77" s="3">
        <f>H76*Sheet1!$C$5/12</f>
        <v>824.98542409214622</v>
      </c>
      <c r="E77" s="3">
        <f>IF(H76&lt;0.01,0,Sheet1!$C$6-D77)</f>
        <v>2150.6711088961151</v>
      </c>
      <c r="F77" s="3">
        <f t="shared" si="10"/>
        <v>423174.23997411982</v>
      </c>
      <c r="G77">
        <f t="shared" si="11"/>
        <v>13033.309937201977</v>
      </c>
      <c r="H77" s="3">
        <f t="shared" si="12"/>
        <v>114317.85935117157</v>
      </c>
      <c r="I77" s="3">
        <f t="shared" si="13"/>
        <v>325682.14064882841</v>
      </c>
    </row>
    <row r="78" spans="1:9" x14ac:dyDescent="0.25">
      <c r="A78">
        <f t="shared" si="9"/>
        <v>7</v>
      </c>
      <c r="B78">
        <v>76</v>
      </c>
      <c r="D78" s="3">
        <f>H77*Sheet1!$C$5/12</f>
        <v>809.75150373746544</v>
      </c>
      <c r="E78" s="3">
        <f>IF(H77&lt;0.01,0,Sheet1!$C$6-D78)</f>
        <v>2165.9050292507959</v>
      </c>
      <c r="F78" s="3">
        <f t="shared" si="10"/>
        <v>426149.89650710806</v>
      </c>
      <c r="G78">
        <f t="shared" si="11"/>
        <v>13124.956947340088</v>
      </c>
      <c r="H78" s="3">
        <f t="shared" si="12"/>
        <v>112151.95432192078</v>
      </c>
      <c r="I78" s="3">
        <f t="shared" si="13"/>
        <v>327848.04567807919</v>
      </c>
    </row>
    <row r="79" spans="1:9" x14ac:dyDescent="0.25">
      <c r="A79">
        <f t="shared" si="9"/>
        <v>7</v>
      </c>
      <c r="B79">
        <v>77</v>
      </c>
      <c r="D79" s="3">
        <f>H78*Sheet1!$C$5/12</f>
        <v>794.40967644693899</v>
      </c>
      <c r="E79" s="3">
        <f>IF(H78&lt;0.01,0,Sheet1!$C$6-D79)</f>
        <v>2181.2468565413224</v>
      </c>
      <c r="F79" s="3">
        <f t="shared" si="10"/>
        <v>429125.5530400963</v>
      </c>
      <c r="G79">
        <f t="shared" si="11"/>
        <v>13216.603957478199</v>
      </c>
      <c r="H79" s="3">
        <f t="shared" si="12"/>
        <v>109970.70746537946</v>
      </c>
      <c r="I79" s="3">
        <f t="shared" si="13"/>
        <v>330029.2925346205</v>
      </c>
    </row>
    <row r="80" spans="1:9" x14ac:dyDescent="0.25">
      <c r="A80">
        <f t="shared" si="9"/>
        <v>7</v>
      </c>
      <c r="B80">
        <v>78</v>
      </c>
      <c r="D80" s="3">
        <f>H79*Sheet1!$C$5/12</f>
        <v>778.95917787977123</v>
      </c>
      <c r="E80" s="3">
        <f>IF(H79&lt;0.01,0,Sheet1!$C$6-D80)</f>
        <v>2196.6973551084902</v>
      </c>
      <c r="F80" s="3">
        <f t="shared" si="10"/>
        <v>432101.2095730846</v>
      </c>
      <c r="G80">
        <f t="shared" si="11"/>
        <v>13308.250967616312</v>
      </c>
      <c r="H80" s="3">
        <f t="shared" si="12"/>
        <v>107774.01011027096</v>
      </c>
      <c r="I80" s="3">
        <f t="shared" si="13"/>
        <v>332225.98988972901</v>
      </c>
    </row>
    <row r="81" spans="1:9" x14ac:dyDescent="0.25">
      <c r="A81">
        <f t="shared" ref="A81:A144" si="14">IF(ISBLANK(B81),"",CEILING(B81/12,1))</f>
        <v>7</v>
      </c>
      <c r="B81">
        <v>79</v>
      </c>
      <c r="D81" s="3">
        <f>H80*Sheet1!$C$5/12</f>
        <v>763.39923828108601</v>
      </c>
      <c r="E81" s="3">
        <f>IF(H80&lt;0.01,0,Sheet1!$C$6-D81)</f>
        <v>2212.2572947071753</v>
      </c>
      <c r="F81" s="3">
        <f t="shared" ref="F81:F144" si="15">F80+D81+E81</f>
        <v>435076.86610607285</v>
      </c>
      <c r="G81">
        <f t="shared" si="11"/>
        <v>13399.897977754425</v>
      </c>
      <c r="H81" s="3">
        <f t="shared" ref="H81:H144" si="16">H80-E81</f>
        <v>105561.75281556378</v>
      </c>
      <c r="I81" s="3">
        <f t="shared" ref="I81:I144" si="17">E81+I80</f>
        <v>334438.24718443619</v>
      </c>
    </row>
    <row r="82" spans="1:9" x14ac:dyDescent="0.25">
      <c r="A82">
        <f t="shared" si="14"/>
        <v>7</v>
      </c>
      <c r="B82">
        <v>80</v>
      </c>
      <c r="D82" s="3">
        <f>H81*Sheet1!$C$5/12</f>
        <v>747.72908244357689</v>
      </c>
      <c r="E82" s="3">
        <f>IF(H81&lt;0.01,0,Sheet1!$C$6-D82)</f>
        <v>2227.9274505446847</v>
      </c>
      <c r="F82" s="3">
        <f t="shared" si="15"/>
        <v>438052.52263906109</v>
      </c>
      <c r="G82">
        <f t="shared" si="11"/>
        <v>13491.544987892536</v>
      </c>
      <c r="H82" s="3">
        <f t="shared" si="16"/>
        <v>103333.8253650191</v>
      </c>
      <c r="I82" s="3">
        <f t="shared" si="17"/>
        <v>336666.17463498085</v>
      </c>
    </row>
    <row r="83" spans="1:9" x14ac:dyDescent="0.25">
      <c r="A83">
        <f t="shared" si="14"/>
        <v>7</v>
      </c>
      <c r="B83">
        <v>81</v>
      </c>
      <c r="D83" s="3">
        <f>H82*Sheet1!$C$5/12</f>
        <v>731.94792966888542</v>
      </c>
      <c r="E83" s="3">
        <f>IF(H82&lt;0.01,0,Sheet1!$C$6-D83)</f>
        <v>2243.7086033193759</v>
      </c>
      <c r="F83" s="3">
        <f t="shared" si="15"/>
        <v>441028.17917204933</v>
      </c>
      <c r="G83">
        <f t="shared" si="11"/>
        <v>13583.191998030647</v>
      </c>
      <c r="H83" s="3">
        <f t="shared" si="16"/>
        <v>101090.11676169973</v>
      </c>
      <c r="I83" s="3">
        <f t="shared" si="17"/>
        <v>338909.88323830022</v>
      </c>
    </row>
    <row r="84" spans="1:9" x14ac:dyDescent="0.25">
      <c r="A84">
        <f t="shared" si="14"/>
        <v>7</v>
      </c>
      <c r="B84">
        <v>82</v>
      </c>
      <c r="D84" s="3">
        <f>H83*Sheet1!$C$5/12</f>
        <v>716.05499372870645</v>
      </c>
      <c r="E84" s="3">
        <f>IF(H83&lt;0.01,0,Sheet1!$C$6-D84)</f>
        <v>2259.601539259555</v>
      </c>
      <c r="F84" s="3">
        <f t="shared" si="15"/>
        <v>444003.83570503758</v>
      </c>
      <c r="G84">
        <f t="shared" si="11"/>
        <v>13674.839008168758</v>
      </c>
      <c r="H84" s="3">
        <f t="shared" si="16"/>
        <v>98830.515222440168</v>
      </c>
      <c r="I84" s="3">
        <f t="shared" si="17"/>
        <v>341169.48477755976</v>
      </c>
    </row>
    <row r="85" spans="1:9" x14ac:dyDescent="0.25">
      <c r="A85">
        <f t="shared" si="14"/>
        <v>7</v>
      </c>
      <c r="B85">
        <v>83</v>
      </c>
      <c r="D85" s="3">
        <f>H84*Sheet1!$C$5/12</f>
        <v>700.04948282561793</v>
      </c>
      <c r="E85" s="3">
        <f>IF(H84&lt;0.01,0,Sheet1!$C$6-D85)</f>
        <v>2275.6070501626436</v>
      </c>
      <c r="F85" s="3">
        <f t="shared" si="15"/>
        <v>446979.49223802582</v>
      </c>
      <c r="G85">
        <f t="shared" si="11"/>
        <v>13766.486018306869</v>
      </c>
      <c r="H85" s="3">
        <f t="shared" si="16"/>
        <v>96554.90817227753</v>
      </c>
      <c r="I85" s="3">
        <f t="shared" si="17"/>
        <v>343445.09182772238</v>
      </c>
    </row>
    <row r="86" spans="1:9" x14ac:dyDescent="0.25">
      <c r="A86">
        <f t="shared" si="14"/>
        <v>7</v>
      </c>
      <c r="B86">
        <v>84</v>
      </c>
      <c r="D86" s="3">
        <f>H85*Sheet1!$C$5/12</f>
        <v>683.93059955363253</v>
      </c>
      <c r="E86" s="3">
        <f>IF(H85&lt;0.01,0,Sheet1!$C$6-D86)</f>
        <v>2291.725933434629</v>
      </c>
      <c r="F86" s="3">
        <f t="shared" si="15"/>
        <v>449955.14877101406</v>
      </c>
      <c r="G86">
        <f t="shared" si="11"/>
        <v>13858.13302844498</v>
      </c>
      <c r="H86" s="3">
        <f t="shared" si="16"/>
        <v>94263.182238842899</v>
      </c>
      <c r="I86" s="3">
        <f t="shared" si="17"/>
        <v>345736.817761157</v>
      </c>
    </row>
    <row r="87" spans="1:9" x14ac:dyDescent="0.25">
      <c r="A87">
        <f t="shared" si="14"/>
        <v>8</v>
      </c>
      <c r="B87">
        <v>85</v>
      </c>
      <c r="D87" s="3">
        <f>H86*Sheet1!$C$5/12</f>
        <v>667.69754085847057</v>
      </c>
      <c r="E87" s="3">
        <f>IF(H86&lt;0.01,0,Sheet1!$C$6-D87)</f>
        <v>2307.9589921297911</v>
      </c>
      <c r="F87" s="3">
        <f t="shared" si="15"/>
        <v>452930.80530400231</v>
      </c>
      <c r="G87">
        <f t="shared" si="11"/>
        <v>13543.47576561465</v>
      </c>
      <c r="H87" s="3">
        <f t="shared" si="16"/>
        <v>91955.223246713111</v>
      </c>
      <c r="I87" s="3">
        <f t="shared" si="17"/>
        <v>348044.77675328677</v>
      </c>
    </row>
    <row r="88" spans="1:9" x14ac:dyDescent="0.25">
      <c r="A88">
        <f t="shared" si="14"/>
        <v>8</v>
      </c>
      <c r="B88">
        <v>86</v>
      </c>
      <c r="D88" s="3">
        <f>H87*Sheet1!$C$5/12</f>
        <v>651.34949799755123</v>
      </c>
      <c r="E88" s="3">
        <f>IF(H87&lt;0.01,0,Sheet1!$C$6-D88)</f>
        <v>2324.3070349907102</v>
      </c>
      <c r="F88" s="3">
        <f t="shared" si="15"/>
        <v>455906.46183699055</v>
      </c>
      <c r="G88">
        <f t="shared" si="11"/>
        <v>13632.45344536039</v>
      </c>
      <c r="H88" s="3">
        <f t="shared" si="16"/>
        <v>89630.916211722404</v>
      </c>
      <c r="I88" s="3">
        <f t="shared" si="17"/>
        <v>350369.08378827746</v>
      </c>
    </row>
    <row r="89" spans="1:9" x14ac:dyDescent="0.25">
      <c r="A89">
        <f t="shared" si="14"/>
        <v>8</v>
      </c>
      <c r="B89">
        <v>87</v>
      </c>
      <c r="D89" s="3">
        <f>H88*Sheet1!$C$5/12</f>
        <v>634.88565649970042</v>
      </c>
      <c r="E89" s="3">
        <f>IF(H88&lt;0.01,0,Sheet1!$C$6-D89)</f>
        <v>2340.770876488561</v>
      </c>
      <c r="F89" s="3">
        <f t="shared" si="15"/>
        <v>458882.11836997885</v>
      </c>
      <c r="G89">
        <f t="shared" si="11"/>
        <v>13721.43112510613</v>
      </c>
      <c r="H89" s="3">
        <f t="shared" si="16"/>
        <v>87290.145335233843</v>
      </c>
      <c r="I89" s="3">
        <f t="shared" si="17"/>
        <v>352709.854664766</v>
      </c>
    </row>
    <row r="90" spans="1:9" x14ac:dyDescent="0.25">
      <c r="A90">
        <f t="shared" si="14"/>
        <v>8</v>
      </c>
      <c r="B90">
        <v>88</v>
      </c>
      <c r="D90" s="3">
        <f>H89*Sheet1!$C$5/12</f>
        <v>618.30519612457317</v>
      </c>
      <c r="E90" s="3">
        <f>IF(H89&lt;0.01,0,Sheet1!$C$6-D90)</f>
        <v>2357.3513368636882</v>
      </c>
      <c r="F90" s="3">
        <f t="shared" si="15"/>
        <v>461857.77490296715</v>
      </c>
      <c r="G90">
        <f t="shared" si="11"/>
        <v>13810.408804851872</v>
      </c>
      <c r="H90" s="3">
        <f t="shared" si="16"/>
        <v>84932.793998370151</v>
      </c>
      <c r="I90" s="3">
        <f t="shared" si="17"/>
        <v>355067.2060016297</v>
      </c>
    </row>
    <row r="91" spans="1:9" x14ac:dyDescent="0.25">
      <c r="A91">
        <f t="shared" si="14"/>
        <v>8</v>
      </c>
      <c r="B91">
        <v>89</v>
      </c>
      <c r="D91" s="3">
        <f>H90*Sheet1!$C$5/12</f>
        <v>601.60729082178864</v>
      </c>
      <c r="E91" s="3">
        <f>IF(H90&lt;0.01,0,Sheet1!$C$6-D91)</f>
        <v>2374.0492421664731</v>
      </c>
      <c r="F91" s="3">
        <f t="shared" si="15"/>
        <v>464833.4314359554</v>
      </c>
      <c r="G91">
        <f t="shared" si="11"/>
        <v>13899.38648459761</v>
      </c>
      <c r="H91" s="3">
        <f t="shared" si="16"/>
        <v>82558.744756203683</v>
      </c>
      <c r="I91" s="3">
        <f t="shared" si="17"/>
        <v>357441.25524379616</v>
      </c>
    </row>
    <row r="92" spans="1:9" x14ac:dyDescent="0.25">
      <c r="A92">
        <f t="shared" si="14"/>
        <v>8</v>
      </c>
      <c r="B92">
        <v>90</v>
      </c>
      <c r="D92" s="3">
        <f>H91*Sheet1!$C$5/12</f>
        <v>584.79110868977614</v>
      </c>
      <c r="E92" s="3">
        <f>IF(H91&lt;0.01,0,Sheet1!$C$6-D92)</f>
        <v>2390.8654242984853</v>
      </c>
      <c r="F92" s="3">
        <f t="shared" si="15"/>
        <v>467809.0879689437</v>
      </c>
      <c r="G92">
        <f t="shared" si="11"/>
        <v>13988.364164343351</v>
      </c>
      <c r="H92" s="3">
        <f t="shared" si="16"/>
        <v>80167.879331905191</v>
      </c>
      <c r="I92" s="3">
        <f t="shared" si="17"/>
        <v>359832.12066809466</v>
      </c>
    </row>
    <row r="93" spans="1:9" x14ac:dyDescent="0.25">
      <c r="A93">
        <f t="shared" si="14"/>
        <v>8</v>
      </c>
      <c r="B93">
        <v>91</v>
      </c>
      <c r="D93" s="3">
        <f>H92*Sheet1!$C$5/12</f>
        <v>567.85581193432847</v>
      </c>
      <c r="E93" s="3">
        <f>IF(H92&lt;0.01,0,Sheet1!$C$6-D93)</f>
        <v>2407.8007210539331</v>
      </c>
      <c r="F93" s="3">
        <f t="shared" si="15"/>
        <v>470784.74450193194</v>
      </c>
      <c r="G93">
        <f t="shared" si="11"/>
        <v>14077.341844089091</v>
      </c>
      <c r="H93" s="3">
        <f t="shared" si="16"/>
        <v>77760.078610851255</v>
      </c>
      <c r="I93" s="3">
        <f t="shared" si="17"/>
        <v>362239.92138914857</v>
      </c>
    </row>
    <row r="94" spans="1:9" x14ac:dyDescent="0.25">
      <c r="A94">
        <f t="shared" si="14"/>
        <v>8</v>
      </c>
      <c r="B94">
        <v>92</v>
      </c>
      <c r="D94" s="3">
        <f>H93*Sheet1!$C$5/12</f>
        <v>550.80055682686304</v>
      </c>
      <c r="E94" s="3">
        <f>IF(H93&lt;0.01,0,Sheet1!$C$6-D94)</f>
        <v>2424.8559761613983</v>
      </c>
      <c r="F94" s="3">
        <f t="shared" si="15"/>
        <v>473760.40103492019</v>
      </c>
      <c r="G94">
        <f t="shared" si="11"/>
        <v>14166.319523834829</v>
      </c>
      <c r="H94" s="3">
        <f t="shared" si="16"/>
        <v>75335.222634689853</v>
      </c>
      <c r="I94" s="3">
        <f t="shared" si="17"/>
        <v>364664.77736530994</v>
      </c>
    </row>
    <row r="95" spans="1:9" x14ac:dyDescent="0.25">
      <c r="A95">
        <f t="shared" si="14"/>
        <v>8</v>
      </c>
      <c r="B95">
        <v>93</v>
      </c>
      <c r="D95" s="3">
        <f>H94*Sheet1!$C$5/12</f>
        <v>533.6244936623865</v>
      </c>
      <c r="E95" s="3">
        <f>IF(H94&lt;0.01,0,Sheet1!$C$6-D95)</f>
        <v>2442.0320393258748</v>
      </c>
      <c r="F95" s="3">
        <f t="shared" si="15"/>
        <v>476736.05756790843</v>
      </c>
      <c r="G95">
        <f t="shared" si="11"/>
        <v>14255.297203580569</v>
      </c>
      <c r="H95" s="3">
        <f t="shared" si="16"/>
        <v>72893.19059536398</v>
      </c>
      <c r="I95" s="3">
        <f t="shared" si="17"/>
        <v>367106.8094046358</v>
      </c>
    </row>
    <row r="96" spans="1:9" x14ac:dyDescent="0.25">
      <c r="A96">
        <f t="shared" si="14"/>
        <v>8</v>
      </c>
      <c r="B96">
        <v>94</v>
      </c>
      <c r="D96" s="3">
        <f>H95*Sheet1!$C$5/12</f>
        <v>516.3267667171616</v>
      </c>
      <c r="E96" s="3">
        <f>IF(H95&lt;0.01,0,Sheet1!$C$6-D96)</f>
        <v>2459.3297662710997</v>
      </c>
      <c r="F96" s="3">
        <f t="shared" si="15"/>
        <v>479711.71410089673</v>
      </c>
      <c r="G96">
        <f t="shared" si="11"/>
        <v>14344.274883326309</v>
      </c>
      <c r="H96" s="3">
        <f t="shared" si="16"/>
        <v>70433.860829092882</v>
      </c>
      <c r="I96" s="3">
        <f t="shared" si="17"/>
        <v>369566.13917090691</v>
      </c>
    </row>
    <row r="97" spans="1:9" x14ac:dyDescent="0.25">
      <c r="A97">
        <f t="shared" si="14"/>
        <v>8</v>
      </c>
      <c r="B97">
        <v>95</v>
      </c>
      <c r="D97" s="3">
        <f>H96*Sheet1!$C$5/12</f>
        <v>498.90651420607463</v>
      </c>
      <c r="E97" s="3">
        <f>IF(H96&lt;0.01,0,Sheet1!$C$6-D97)</f>
        <v>2476.750018782187</v>
      </c>
      <c r="F97" s="3">
        <f t="shared" si="15"/>
        <v>482687.37063388503</v>
      </c>
      <c r="G97">
        <f t="shared" si="11"/>
        <v>14433.25256307205</v>
      </c>
      <c r="H97" s="3">
        <f t="shared" si="16"/>
        <v>67957.110810310696</v>
      </c>
      <c r="I97" s="3">
        <f t="shared" si="17"/>
        <v>372042.88918968913</v>
      </c>
    </row>
    <row r="98" spans="1:9" x14ac:dyDescent="0.25">
      <c r="A98">
        <f t="shared" si="14"/>
        <v>8</v>
      </c>
      <c r="B98">
        <v>96</v>
      </c>
      <c r="D98" s="3">
        <f>H97*Sheet1!$C$5/12</f>
        <v>481.36286823970084</v>
      </c>
      <c r="E98" s="3">
        <f>IF(H97&lt;0.01,0,Sheet1!$C$6-D98)</f>
        <v>2494.2936647485608</v>
      </c>
      <c r="F98" s="3">
        <f t="shared" si="15"/>
        <v>485663.02716687327</v>
      </c>
      <c r="G98">
        <f t="shared" si="11"/>
        <v>14522.230242817788</v>
      </c>
      <c r="H98" s="3">
        <f t="shared" si="16"/>
        <v>65462.817145562134</v>
      </c>
      <c r="I98" s="3">
        <f t="shared" si="17"/>
        <v>374537.18285443768</v>
      </c>
    </row>
    <row r="99" spans="1:9" x14ac:dyDescent="0.25">
      <c r="A99">
        <f t="shared" si="14"/>
        <v>9</v>
      </c>
      <c r="B99">
        <v>97</v>
      </c>
      <c r="D99" s="3">
        <f>H98*Sheet1!$C$5/12</f>
        <v>463.69495478106518</v>
      </c>
      <c r="E99" s="3">
        <f>IF(H98&lt;0.01,0,Sheet1!$C$6-D99)</f>
        <v>2511.9615782071965</v>
      </c>
      <c r="F99" s="3">
        <f t="shared" si="15"/>
        <v>488638.68369986152</v>
      </c>
      <c r="G99">
        <f t="shared" si="11"/>
        <v>14185.638759770414</v>
      </c>
      <c r="H99" s="3">
        <f t="shared" si="16"/>
        <v>62950.855567354934</v>
      </c>
      <c r="I99" s="3">
        <f t="shared" si="17"/>
        <v>377049.14443264488</v>
      </c>
    </row>
    <row r="100" spans="1:9" x14ac:dyDescent="0.25">
      <c r="A100">
        <f t="shared" si="14"/>
        <v>9</v>
      </c>
      <c r="B100">
        <v>98</v>
      </c>
      <c r="D100" s="3">
        <f>H99*Sheet1!$C$5/12</f>
        <v>445.90189360209752</v>
      </c>
      <c r="E100" s="3">
        <f>IF(H99&lt;0.01,0,Sheet1!$C$6-D100)</f>
        <v>2529.7546393861639</v>
      </c>
      <c r="F100" s="3">
        <f t="shared" si="15"/>
        <v>491614.34023284976</v>
      </c>
      <c r="G100">
        <f t="shared" si="11"/>
        <v>14272.024856610937</v>
      </c>
      <c r="H100" s="3">
        <f t="shared" si="16"/>
        <v>60421.100927968771</v>
      </c>
      <c r="I100" s="3">
        <f t="shared" si="17"/>
        <v>379578.89907203102</v>
      </c>
    </row>
    <row r="101" spans="1:9" x14ac:dyDescent="0.25">
      <c r="A101">
        <f t="shared" si="14"/>
        <v>9</v>
      </c>
      <c r="B101">
        <v>99</v>
      </c>
      <c r="D101" s="3">
        <f>H100*Sheet1!$C$5/12</f>
        <v>427.98279823977879</v>
      </c>
      <c r="E101" s="3">
        <f>IF(H100&lt;0.01,0,Sheet1!$C$6-D101)</f>
        <v>2547.6737347484827</v>
      </c>
      <c r="F101" s="3">
        <f t="shared" si="15"/>
        <v>494589.99676583806</v>
      </c>
      <c r="G101">
        <f t="shared" si="11"/>
        <v>14358.410953451463</v>
      </c>
      <c r="H101" s="3">
        <f t="shared" si="16"/>
        <v>57873.42719322029</v>
      </c>
      <c r="I101" s="3">
        <f t="shared" si="17"/>
        <v>382126.57280677953</v>
      </c>
    </row>
    <row r="102" spans="1:9" x14ac:dyDescent="0.25">
      <c r="A102">
        <f t="shared" si="14"/>
        <v>9</v>
      </c>
      <c r="B102">
        <v>100</v>
      </c>
      <c r="D102" s="3">
        <f>H101*Sheet1!$C$5/12</f>
        <v>409.9367759519771</v>
      </c>
      <c r="E102" s="3">
        <f>IF(H101&lt;0.01,0,Sheet1!$C$6-D102)</f>
        <v>2565.7197570362841</v>
      </c>
      <c r="F102" s="3">
        <f t="shared" si="15"/>
        <v>497565.65329882636</v>
      </c>
      <c r="G102">
        <f t="shared" si="11"/>
        <v>14444.797050291987</v>
      </c>
      <c r="H102" s="3">
        <f t="shared" si="16"/>
        <v>55307.707436184006</v>
      </c>
      <c r="I102" s="3">
        <f t="shared" si="17"/>
        <v>384692.29256381583</v>
      </c>
    </row>
    <row r="103" spans="1:9" x14ac:dyDescent="0.25">
      <c r="A103">
        <f t="shared" si="14"/>
        <v>9</v>
      </c>
      <c r="B103">
        <v>101</v>
      </c>
      <c r="D103" s="3">
        <f>H102*Sheet1!$C$5/12</f>
        <v>391.76292767297008</v>
      </c>
      <c r="E103" s="3">
        <f>IF(H102&lt;0.01,0,Sheet1!$C$6-D103)</f>
        <v>2583.8936053152916</v>
      </c>
      <c r="F103" s="3">
        <f t="shared" si="15"/>
        <v>500541.30983181461</v>
      </c>
      <c r="G103">
        <f t="shared" si="11"/>
        <v>14531.183147132511</v>
      </c>
      <c r="H103" s="3">
        <f t="shared" si="16"/>
        <v>52723.813830868712</v>
      </c>
      <c r="I103" s="3">
        <f t="shared" si="17"/>
        <v>387276.18616913114</v>
      </c>
    </row>
    <row r="104" spans="1:9" x14ac:dyDescent="0.25">
      <c r="A104">
        <f t="shared" si="14"/>
        <v>9</v>
      </c>
      <c r="B104">
        <v>102</v>
      </c>
      <c r="D104" s="3">
        <f>H103*Sheet1!$C$5/12</f>
        <v>373.46034796865342</v>
      </c>
      <c r="E104" s="3">
        <f>IF(H103&lt;0.01,0,Sheet1!$C$6-D104)</f>
        <v>2602.196185019608</v>
      </c>
      <c r="F104" s="3">
        <f t="shared" si="15"/>
        <v>503516.96636480291</v>
      </c>
      <c r="G104">
        <f t="shared" si="11"/>
        <v>14617.569243973036</v>
      </c>
      <c r="H104" s="3">
        <f t="shared" si="16"/>
        <v>50121.617645849103</v>
      </c>
      <c r="I104" s="3">
        <f t="shared" si="17"/>
        <v>389878.38235415076</v>
      </c>
    </row>
    <row r="105" spans="1:9" x14ac:dyDescent="0.25">
      <c r="A105">
        <f t="shared" si="14"/>
        <v>9</v>
      </c>
      <c r="B105">
        <v>103</v>
      </c>
      <c r="D105" s="3">
        <f>H104*Sheet1!$C$5/12</f>
        <v>355.02812499143118</v>
      </c>
      <c r="E105" s="3">
        <f>IF(H104&lt;0.01,0,Sheet1!$C$6-D105)</f>
        <v>2620.6284079968304</v>
      </c>
      <c r="F105" s="3">
        <f t="shared" si="15"/>
        <v>506492.62289779121</v>
      </c>
      <c r="G105">
        <f t="shared" si="11"/>
        <v>14703.955340813562</v>
      </c>
      <c r="H105" s="3">
        <f t="shared" si="16"/>
        <v>47500.989237852271</v>
      </c>
      <c r="I105" s="3">
        <f t="shared" si="17"/>
        <v>392499.01076214761</v>
      </c>
    </row>
    <row r="106" spans="1:9" x14ac:dyDescent="0.25">
      <c r="A106">
        <f t="shared" si="14"/>
        <v>9</v>
      </c>
      <c r="B106">
        <v>104</v>
      </c>
      <c r="D106" s="3">
        <f>H105*Sheet1!$C$5/12</f>
        <v>336.46534043478692</v>
      </c>
      <c r="E106" s="3">
        <f>IF(H105&lt;0.01,0,Sheet1!$C$6-D106)</f>
        <v>2639.1911925534746</v>
      </c>
      <c r="F106" s="3">
        <f t="shared" si="15"/>
        <v>509468.27943077951</v>
      </c>
      <c r="G106">
        <f t="shared" si="11"/>
        <v>14790.341437654086</v>
      </c>
      <c r="H106" s="3">
        <f t="shared" si="16"/>
        <v>44861.798045298798</v>
      </c>
      <c r="I106" s="3">
        <f t="shared" si="17"/>
        <v>395138.2019547011</v>
      </c>
    </row>
    <row r="107" spans="1:9" x14ac:dyDescent="0.25">
      <c r="A107">
        <f t="shared" si="14"/>
        <v>9</v>
      </c>
      <c r="B107">
        <v>105</v>
      </c>
      <c r="D107" s="3">
        <f>H106*Sheet1!$C$5/12</f>
        <v>317.77106948753317</v>
      </c>
      <c r="E107" s="3">
        <f>IF(H106&lt;0.01,0,Sheet1!$C$6-D107)</f>
        <v>2657.8854635007283</v>
      </c>
      <c r="F107" s="3">
        <f t="shared" si="15"/>
        <v>512443.93596376781</v>
      </c>
      <c r="G107">
        <f t="shared" si="11"/>
        <v>14876.72753449461</v>
      </c>
      <c r="H107" s="3">
        <f t="shared" si="16"/>
        <v>42203.912581798068</v>
      </c>
      <c r="I107" s="3">
        <f t="shared" si="17"/>
        <v>397796.08741820185</v>
      </c>
    </row>
    <row r="108" spans="1:9" x14ac:dyDescent="0.25">
      <c r="A108">
        <f t="shared" si="14"/>
        <v>9</v>
      </c>
      <c r="B108">
        <v>106</v>
      </c>
      <c r="D108" s="3">
        <f>H107*Sheet1!$C$5/12</f>
        <v>298.94438078773635</v>
      </c>
      <c r="E108" s="3">
        <f>IF(H107&lt;0.01,0,Sheet1!$C$6-D108)</f>
        <v>2676.712152200525</v>
      </c>
      <c r="F108" s="3">
        <f t="shared" si="15"/>
        <v>515419.59249675606</v>
      </c>
      <c r="G108">
        <f t="shared" si="11"/>
        <v>14963.113631335134</v>
      </c>
      <c r="H108" s="3">
        <f t="shared" si="16"/>
        <v>39527.200429597542</v>
      </c>
      <c r="I108" s="3">
        <f t="shared" si="17"/>
        <v>400472.79957040236</v>
      </c>
    </row>
    <row r="109" spans="1:9" x14ac:dyDescent="0.25">
      <c r="A109">
        <f t="shared" si="14"/>
        <v>9</v>
      </c>
      <c r="B109">
        <v>107</v>
      </c>
      <c r="D109" s="3">
        <f>H108*Sheet1!$C$5/12</f>
        <v>279.98433637631598</v>
      </c>
      <c r="E109" s="3">
        <f>IF(H108&lt;0.01,0,Sheet1!$C$6-D109)</f>
        <v>2695.6721966119453</v>
      </c>
      <c r="F109" s="3">
        <f t="shared" si="15"/>
        <v>518395.2490297443</v>
      </c>
      <c r="G109">
        <f t="shared" si="11"/>
        <v>15049.499728175657</v>
      </c>
      <c r="H109" s="3">
        <f t="shared" si="16"/>
        <v>36831.528232985598</v>
      </c>
      <c r="I109" s="3">
        <f t="shared" si="17"/>
        <v>403168.4717670143</v>
      </c>
    </row>
    <row r="110" spans="1:9" x14ac:dyDescent="0.25">
      <c r="A110">
        <f t="shared" si="14"/>
        <v>9</v>
      </c>
      <c r="B110">
        <v>108</v>
      </c>
      <c r="D110" s="3">
        <f>H109*Sheet1!$C$5/12</f>
        <v>260.8899916503147</v>
      </c>
      <c r="E110" s="3">
        <f>IF(H109&lt;0.01,0,Sheet1!$C$6-D110)</f>
        <v>2714.7665413379468</v>
      </c>
      <c r="F110" s="3">
        <f t="shared" si="15"/>
        <v>521370.90556273254</v>
      </c>
      <c r="G110">
        <f t="shared" si="11"/>
        <v>15135.885825016181</v>
      </c>
      <c r="H110" s="3">
        <f t="shared" si="16"/>
        <v>34116.761691647655</v>
      </c>
      <c r="I110" s="3">
        <f t="shared" si="17"/>
        <v>405883.23830835224</v>
      </c>
    </row>
    <row r="111" spans="1:9" x14ac:dyDescent="0.25">
      <c r="A111">
        <f t="shared" si="14"/>
        <v>10</v>
      </c>
      <c r="B111">
        <v>109</v>
      </c>
      <c r="D111" s="3">
        <f>H110*Sheet1!$C$5/12</f>
        <v>241.66039531583758</v>
      </c>
      <c r="E111" s="3">
        <f>IF(H110&lt;0.01,0,Sheet1!$C$6-D111)</f>
        <v>2733.9961376724241</v>
      </c>
      <c r="F111" s="3">
        <f t="shared" si="15"/>
        <v>524346.56209572079</v>
      </c>
      <c r="G111">
        <f t="shared" si="11"/>
        <v>14778.904778501657</v>
      </c>
      <c r="H111" s="3">
        <f t="shared" si="16"/>
        <v>31382.76555397523</v>
      </c>
      <c r="I111" s="3">
        <f t="shared" si="17"/>
        <v>408617.23444602464</v>
      </c>
    </row>
    <row r="112" spans="1:9" x14ac:dyDescent="0.25">
      <c r="A112">
        <f t="shared" si="14"/>
        <v>10</v>
      </c>
      <c r="B112">
        <v>110</v>
      </c>
      <c r="D112" s="3">
        <f>H111*Sheet1!$C$5/12</f>
        <v>222.29458934065789</v>
      </c>
      <c r="E112" s="3">
        <f>IF(H111&lt;0.01,0,Sheet1!$C$6-D112)</f>
        <v>2753.3619436476038</v>
      </c>
      <c r="F112" s="3">
        <f t="shared" si="15"/>
        <v>527322.21862870909</v>
      </c>
      <c r="G112">
        <f t="shared" si="11"/>
        <v>14862.774775434205</v>
      </c>
      <c r="H112" s="3">
        <f t="shared" si="16"/>
        <v>28629.403610327627</v>
      </c>
      <c r="I112" s="3">
        <f t="shared" si="17"/>
        <v>411370.59638967225</v>
      </c>
    </row>
    <row r="113" spans="1:9" x14ac:dyDescent="0.25">
      <c r="A113">
        <f t="shared" si="14"/>
        <v>10</v>
      </c>
      <c r="B113">
        <v>111</v>
      </c>
      <c r="D113" s="3">
        <f>H112*Sheet1!$C$5/12</f>
        <v>202.79160890648737</v>
      </c>
      <c r="E113" s="3">
        <f>IF(H112&lt;0.01,0,Sheet1!$C$6-D113)</f>
        <v>2772.864924081774</v>
      </c>
      <c r="F113" s="3">
        <f t="shared" si="15"/>
        <v>530297.87516169727</v>
      </c>
      <c r="G113">
        <f t="shared" si="11"/>
        <v>14946.644772366752</v>
      </c>
      <c r="H113" s="3">
        <f t="shared" si="16"/>
        <v>25856.538686245854</v>
      </c>
      <c r="I113" s="3">
        <f t="shared" si="17"/>
        <v>414143.46131375403</v>
      </c>
    </row>
    <row r="114" spans="1:9" x14ac:dyDescent="0.25">
      <c r="A114">
        <f t="shared" si="14"/>
        <v>10</v>
      </c>
      <c r="B114">
        <v>112</v>
      </c>
      <c r="D114" s="3">
        <f>H113*Sheet1!$C$5/12</f>
        <v>183.15048236090817</v>
      </c>
      <c r="E114" s="3">
        <f>IF(H113&lt;0.01,0,Sheet1!$C$6-D114)</f>
        <v>2792.5060506273535</v>
      </c>
      <c r="F114" s="3">
        <f t="shared" si="15"/>
        <v>533273.53169468546</v>
      </c>
      <c r="G114">
        <f t="shared" si="11"/>
        <v>15030.514769299296</v>
      </c>
      <c r="H114" s="3">
        <f t="shared" si="16"/>
        <v>23064.0326356185</v>
      </c>
      <c r="I114" s="3">
        <f t="shared" si="17"/>
        <v>416935.96736438136</v>
      </c>
    </row>
    <row r="115" spans="1:9" x14ac:dyDescent="0.25">
      <c r="A115">
        <f t="shared" si="14"/>
        <v>10</v>
      </c>
      <c r="B115">
        <v>113</v>
      </c>
      <c r="D115" s="3">
        <f>H114*Sheet1!$C$5/12</f>
        <v>163.37023116896438</v>
      </c>
      <c r="E115" s="3">
        <f>IF(H114&lt;0.01,0,Sheet1!$C$6-D115)</f>
        <v>2812.286301819297</v>
      </c>
      <c r="F115" s="3">
        <f t="shared" si="15"/>
        <v>536249.18822767364</v>
      </c>
      <c r="G115">
        <f t="shared" si="11"/>
        <v>15114.384766231842</v>
      </c>
      <c r="H115" s="3">
        <f t="shared" si="16"/>
        <v>20251.746333799201</v>
      </c>
      <c r="I115" s="3">
        <f t="shared" si="17"/>
        <v>419748.25366620068</v>
      </c>
    </row>
    <row r="116" spans="1:9" x14ac:dyDescent="0.25">
      <c r="A116">
        <f t="shared" si="14"/>
        <v>10</v>
      </c>
      <c r="B116">
        <v>114</v>
      </c>
      <c r="D116" s="3">
        <f>H115*Sheet1!$C$5/12</f>
        <v>143.44986986441103</v>
      </c>
      <c r="E116" s="3">
        <f>IF(H115&lt;0.01,0,Sheet1!$C$6-D116)</f>
        <v>2832.2066631238504</v>
      </c>
      <c r="F116" s="3">
        <f t="shared" si="15"/>
        <v>539224.84476066183</v>
      </c>
      <c r="G116">
        <f t="shared" si="11"/>
        <v>15198.254763164387</v>
      </c>
      <c r="H116" s="3">
        <f t="shared" si="16"/>
        <v>17419.539670675353</v>
      </c>
      <c r="I116" s="3">
        <f t="shared" si="17"/>
        <v>422580.46032932453</v>
      </c>
    </row>
    <row r="117" spans="1:9" x14ac:dyDescent="0.25">
      <c r="A117">
        <f t="shared" si="14"/>
        <v>10</v>
      </c>
      <c r="B117">
        <v>115</v>
      </c>
      <c r="D117" s="3">
        <f>H116*Sheet1!$C$5/12</f>
        <v>123.38840600061708</v>
      </c>
      <c r="E117" s="3">
        <f>IF(H116&lt;0.01,0,Sheet1!$C$6-D117)</f>
        <v>2852.2681269876443</v>
      </c>
      <c r="F117" s="3">
        <f t="shared" si="15"/>
        <v>542200.50129365001</v>
      </c>
      <c r="G117">
        <f t="shared" si="11"/>
        <v>15282.124760096933</v>
      </c>
      <c r="H117" s="3">
        <f t="shared" si="16"/>
        <v>14567.271543687708</v>
      </c>
      <c r="I117" s="3">
        <f t="shared" si="17"/>
        <v>425432.72845631215</v>
      </c>
    </row>
    <row r="118" spans="1:9" x14ac:dyDescent="0.25">
      <c r="A118">
        <f t="shared" si="14"/>
        <v>10</v>
      </c>
      <c r="B118">
        <v>116</v>
      </c>
      <c r="D118" s="3">
        <f>H117*Sheet1!$C$5/12</f>
        <v>103.18484010112127</v>
      </c>
      <c r="E118" s="3">
        <f>IF(H117&lt;0.01,0,Sheet1!$C$6-D118)</f>
        <v>2872.4716928871403</v>
      </c>
      <c r="F118" s="3">
        <f t="shared" si="15"/>
        <v>545176.15782663831</v>
      </c>
      <c r="G118">
        <f t="shared" si="11"/>
        <v>15365.994757029481</v>
      </c>
      <c r="H118" s="3">
        <f t="shared" si="16"/>
        <v>11694.799850800568</v>
      </c>
      <c r="I118" s="3">
        <f t="shared" si="17"/>
        <v>428305.20014919929</v>
      </c>
    </row>
    <row r="119" spans="1:9" x14ac:dyDescent="0.25">
      <c r="A119">
        <f t="shared" si="14"/>
        <v>10</v>
      </c>
      <c r="B119">
        <v>117</v>
      </c>
      <c r="D119" s="3">
        <f>H118*Sheet1!$C$5/12</f>
        <v>82.838165609837361</v>
      </c>
      <c r="E119" s="3">
        <f>IF(H118&lt;0.01,0,Sheet1!$C$6-D119)</f>
        <v>2892.8183673784242</v>
      </c>
      <c r="F119" s="3">
        <f t="shared" si="15"/>
        <v>548151.81435962662</v>
      </c>
      <c r="G119">
        <f t="shared" si="11"/>
        <v>15449.864753962029</v>
      </c>
      <c r="H119" s="3">
        <f t="shared" si="16"/>
        <v>8801.9814834221434</v>
      </c>
      <c r="I119" s="3">
        <f t="shared" si="17"/>
        <v>431198.01851657772</v>
      </c>
    </row>
    <row r="120" spans="1:9" x14ac:dyDescent="0.25">
      <c r="A120">
        <f t="shared" si="14"/>
        <v>10</v>
      </c>
      <c r="B120">
        <v>118</v>
      </c>
      <c r="D120" s="3">
        <f>H119*Sheet1!$C$5/12</f>
        <v>62.347368840906853</v>
      </c>
      <c r="E120" s="3">
        <f>IF(H119&lt;0.01,0,Sheet1!$C$6-D120)</f>
        <v>2913.3091641473547</v>
      </c>
      <c r="F120" s="3">
        <f t="shared" si="15"/>
        <v>551127.47089261492</v>
      </c>
      <c r="G120">
        <f t="shared" si="11"/>
        <v>15533.734750894579</v>
      </c>
      <c r="H120" s="3">
        <f t="shared" si="16"/>
        <v>5888.6723192747886</v>
      </c>
      <c r="I120" s="3">
        <f t="shared" si="17"/>
        <v>434111.32768072508</v>
      </c>
    </row>
    <row r="121" spans="1:9" x14ac:dyDescent="0.25">
      <c r="A121">
        <f t="shared" si="14"/>
        <v>10</v>
      </c>
      <c r="B121">
        <v>119</v>
      </c>
      <c r="D121" s="3">
        <f>H120*Sheet1!$C$5/12</f>
        <v>41.711428928196419</v>
      </c>
      <c r="E121" s="3">
        <f>IF(H120&lt;0.01,0,Sheet1!$C$6-D121)</f>
        <v>2933.9451040600652</v>
      </c>
      <c r="F121" s="3">
        <f t="shared" si="15"/>
        <v>554103.12742560322</v>
      </c>
      <c r="G121">
        <f t="shared" si="11"/>
        <v>15617.604747827127</v>
      </c>
      <c r="H121" s="3">
        <f t="shared" si="16"/>
        <v>2954.7272152147234</v>
      </c>
      <c r="I121" s="3">
        <f t="shared" si="17"/>
        <v>437045.27278478513</v>
      </c>
    </row>
    <row r="122" spans="1:9" x14ac:dyDescent="0.25">
      <c r="A122">
        <f t="shared" si="14"/>
        <v>10</v>
      </c>
      <c r="B122">
        <v>120</v>
      </c>
      <c r="D122" s="3">
        <f>H121*Sheet1!$C$5/12</f>
        <v>20.929317774437624</v>
      </c>
      <c r="E122" s="3">
        <f>IF(H121&lt;0.01,0,Sheet1!$C$6-D122)</f>
        <v>2954.7272152138239</v>
      </c>
      <c r="F122" s="3">
        <f t="shared" si="15"/>
        <v>557078.78395859152</v>
      </c>
      <c r="G122">
        <f t="shared" si="11"/>
        <v>15701.474744759675</v>
      </c>
      <c r="H122" s="3">
        <f t="shared" si="16"/>
        <v>8.9949026005342603E-10</v>
      </c>
      <c r="I122" s="3">
        <f t="shared" si="17"/>
        <v>439999.99999999895</v>
      </c>
    </row>
    <row r="123" spans="1:9" x14ac:dyDescent="0.25">
      <c r="A123" t="str">
        <f t="shared" si="14"/>
        <v/>
      </c>
      <c r="D123" s="3">
        <f>H122*Sheet1!$C$5/12</f>
        <v>6.3713893420451022E-12</v>
      </c>
      <c r="E123" s="3">
        <f>IF(H122&lt;0.01,0,Sheet1!$C$6-D123)</f>
        <v>0</v>
      </c>
      <c r="F123" s="3">
        <f t="shared" si="15"/>
        <v>557078.78395859152</v>
      </c>
      <c r="G123">
        <f t="shared" si="11"/>
        <v>15701.474744759675</v>
      </c>
      <c r="H123" s="3">
        <f t="shared" si="16"/>
        <v>8.9949026005342603E-10</v>
      </c>
      <c r="I123" s="3">
        <f t="shared" si="17"/>
        <v>439999.99999999895</v>
      </c>
    </row>
    <row r="124" spans="1:9" x14ac:dyDescent="0.25">
      <c r="A124" t="str">
        <f t="shared" si="14"/>
        <v/>
      </c>
      <c r="D124" s="3">
        <f>H123*Sheet1!$C$5/12</f>
        <v>6.3713893420451022E-12</v>
      </c>
      <c r="E124" s="3">
        <f>IF(H123&lt;0.01,0,Sheet1!$C$6-D124)</f>
        <v>0</v>
      </c>
      <c r="F124" s="3">
        <f t="shared" si="15"/>
        <v>557078.78395859152</v>
      </c>
      <c r="G124">
        <f t="shared" si="11"/>
        <v>15701.474744759675</v>
      </c>
      <c r="H124" s="3">
        <f t="shared" si="16"/>
        <v>8.9949026005342603E-10</v>
      </c>
      <c r="I124" s="3">
        <f t="shared" si="17"/>
        <v>439999.99999999895</v>
      </c>
    </row>
    <row r="125" spans="1:9" x14ac:dyDescent="0.25">
      <c r="A125" t="str">
        <f t="shared" si="14"/>
        <v/>
      </c>
      <c r="D125" s="3">
        <f>H124*Sheet1!$C$5/12</f>
        <v>6.3713893420451022E-12</v>
      </c>
      <c r="E125" s="3">
        <f>IF(H124&lt;0.01,0,Sheet1!$C$6-D125)</f>
        <v>0</v>
      </c>
      <c r="F125" s="3">
        <f t="shared" si="15"/>
        <v>557078.78395859152</v>
      </c>
      <c r="G125">
        <f t="shared" si="11"/>
        <v>15701.474744759675</v>
      </c>
      <c r="H125" s="3">
        <f t="shared" si="16"/>
        <v>8.9949026005342603E-10</v>
      </c>
      <c r="I125" s="3">
        <f t="shared" si="17"/>
        <v>439999.99999999895</v>
      </c>
    </row>
    <row r="126" spans="1:9" x14ac:dyDescent="0.25">
      <c r="A126" t="str">
        <f t="shared" si="14"/>
        <v/>
      </c>
      <c r="D126" s="3">
        <f>H125*Sheet1!$C$5/12</f>
        <v>6.3713893420451022E-12</v>
      </c>
      <c r="E126" s="3">
        <f>IF(H125&lt;0.01,0,Sheet1!$C$6-D126)</f>
        <v>0</v>
      </c>
      <c r="F126" s="3">
        <f t="shared" si="15"/>
        <v>557078.78395859152</v>
      </c>
      <c r="G126">
        <f t="shared" si="11"/>
        <v>15701.474744759675</v>
      </c>
      <c r="H126" s="3">
        <f t="shared" si="16"/>
        <v>8.9949026005342603E-10</v>
      </c>
      <c r="I126" s="3">
        <f t="shared" si="17"/>
        <v>439999.99999999895</v>
      </c>
    </row>
    <row r="127" spans="1:9" x14ac:dyDescent="0.25">
      <c r="A127" t="str">
        <f t="shared" si="14"/>
        <v/>
      </c>
      <c r="D127" s="3">
        <f>H126*Sheet1!$C$5/12</f>
        <v>6.3713893420451022E-12</v>
      </c>
      <c r="E127" s="3">
        <f>IF(H126&lt;0.01,0,Sheet1!$C$6-D127)</f>
        <v>0</v>
      </c>
      <c r="F127" s="3">
        <f t="shared" si="15"/>
        <v>557078.78395859152</v>
      </c>
      <c r="G127">
        <f t="shared" si="11"/>
        <v>15701.474744759675</v>
      </c>
      <c r="H127" s="3">
        <f t="shared" si="16"/>
        <v>8.9949026005342603E-10</v>
      </c>
      <c r="I127" s="3">
        <f t="shared" si="17"/>
        <v>439999.99999999895</v>
      </c>
    </row>
    <row r="128" spans="1:9" x14ac:dyDescent="0.25">
      <c r="A128" t="str">
        <f t="shared" si="14"/>
        <v/>
      </c>
      <c r="D128" s="3">
        <f>H127*Sheet1!$C$5/12</f>
        <v>6.3713893420451022E-12</v>
      </c>
      <c r="E128" s="3">
        <f>IF(H127&lt;0.01,0,Sheet1!$C$6-D128)</f>
        <v>0</v>
      </c>
      <c r="F128" s="3">
        <f t="shared" si="15"/>
        <v>557078.78395859152</v>
      </c>
      <c r="G128">
        <f t="shared" si="11"/>
        <v>15701.474744759675</v>
      </c>
      <c r="H128" s="3">
        <f t="shared" si="16"/>
        <v>8.9949026005342603E-10</v>
      </c>
      <c r="I128" s="3">
        <f t="shared" si="17"/>
        <v>439999.99999999895</v>
      </c>
    </row>
    <row r="129" spans="1:9" x14ac:dyDescent="0.25">
      <c r="A129" t="str">
        <f t="shared" si="14"/>
        <v/>
      </c>
      <c r="D129" s="3">
        <f>H128*Sheet1!$C$5/12</f>
        <v>6.3713893420451022E-12</v>
      </c>
      <c r="E129" s="3">
        <f>IF(H128&lt;0.01,0,Sheet1!$C$6-D129)</f>
        <v>0</v>
      </c>
      <c r="F129" s="3">
        <f t="shared" si="15"/>
        <v>557078.78395859152</v>
      </c>
      <c r="G129">
        <f t="shared" si="11"/>
        <v>15701.474744759675</v>
      </c>
      <c r="H129" s="3">
        <f t="shared" si="16"/>
        <v>8.9949026005342603E-10</v>
      </c>
      <c r="I129" s="3">
        <f t="shared" si="17"/>
        <v>439999.99999999895</v>
      </c>
    </row>
    <row r="130" spans="1:9" x14ac:dyDescent="0.25">
      <c r="A130" t="str">
        <f t="shared" si="14"/>
        <v/>
      </c>
      <c r="D130" s="3">
        <f>H129*Sheet1!$C$5/12</f>
        <v>6.3713893420451022E-12</v>
      </c>
      <c r="E130" s="3">
        <f>IF(H129&lt;0.01,0,Sheet1!$C$6-D130)</f>
        <v>0</v>
      </c>
      <c r="F130" s="3">
        <f t="shared" si="15"/>
        <v>557078.78395859152</v>
      </c>
      <c r="G130">
        <f t="shared" si="11"/>
        <v>15701.474744759675</v>
      </c>
      <c r="H130" s="3">
        <f t="shared" si="16"/>
        <v>8.9949026005342603E-10</v>
      </c>
      <c r="I130" s="3">
        <f t="shared" si="17"/>
        <v>439999.99999999895</v>
      </c>
    </row>
    <row r="131" spans="1:9" x14ac:dyDescent="0.25">
      <c r="A131" t="str">
        <f t="shared" si="14"/>
        <v/>
      </c>
      <c r="D131" s="3">
        <f>H130*Sheet1!$C$5/12</f>
        <v>6.3713893420451022E-12</v>
      </c>
      <c r="E131" s="3">
        <f>IF(H130&lt;0.01,0,Sheet1!$C$6-D131)</f>
        <v>0</v>
      </c>
      <c r="F131" s="3">
        <f t="shared" si="15"/>
        <v>557078.78395859152</v>
      </c>
      <c r="G131">
        <f t="shared" ref="G131:G194" si="18">IFERROR(F131/(26.4*(1+3%)^A131),G130)</f>
        <v>15701.474744759675</v>
      </c>
      <c r="H131" s="3">
        <f t="shared" si="16"/>
        <v>8.9949026005342603E-10</v>
      </c>
      <c r="I131" s="3">
        <f t="shared" si="17"/>
        <v>439999.99999999895</v>
      </c>
    </row>
    <row r="132" spans="1:9" x14ac:dyDescent="0.25">
      <c r="A132" t="str">
        <f t="shared" si="14"/>
        <v/>
      </c>
      <c r="D132" s="3">
        <f>H131*Sheet1!$C$5/12</f>
        <v>6.3713893420451022E-12</v>
      </c>
      <c r="E132" s="3">
        <f>IF(H131&lt;0.01,0,Sheet1!$C$6-D132)</f>
        <v>0</v>
      </c>
      <c r="F132" s="3">
        <f t="shared" si="15"/>
        <v>557078.78395859152</v>
      </c>
      <c r="G132">
        <f t="shared" si="18"/>
        <v>15701.474744759675</v>
      </c>
      <c r="H132" s="3">
        <f t="shared" si="16"/>
        <v>8.9949026005342603E-10</v>
      </c>
      <c r="I132" s="3">
        <f t="shared" si="17"/>
        <v>439999.99999999895</v>
      </c>
    </row>
    <row r="133" spans="1:9" x14ac:dyDescent="0.25">
      <c r="A133" t="str">
        <f t="shared" si="14"/>
        <v/>
      </c>
      <c r="D133" s="3">
        <f>H132*Sheet1!$C$5/12</f>
        <v>6.3713893420451022E-12</v>
      </c>
      <c r="E133" s="3">
        <f>IF(H132&lt;0.01,0,Sheet1!$C$6-D133)</f>
        <v>0</v>
      </c>
      <c r="F133" s="3">
        <f t="shared" si="15"/>
        <v>557078.78395859152</v>
      </c>
      <c r="G133">
        <f t="shared" si="18"/>
        <v>15701.474744759675</v>
      </c>
      <c r="H133" s="3">
        <f t="shared" si="16"/>
        <v>8.9949026005342603E-10</v>
      </c>
      <c r="I133" s="3">
        <f t="shared" si="17"/>
        <v>439999.99999999895</v>
      </c>
    </row>
    <row r="134" spans="1:9" x14ac:dyDescent="0.25">
      <c r="A134" t="str">
        <f t="shared" si="14"/>
        <v/>
      </c>
      <c r="D134" s="3">
        <f>H133*Sheet1!$C$5/12</f>
        <v>6.3713893420451022E-12</v>
      </c>
      <c r="E134" s="3">
        <f>IF(H133&lt;0.01,0,Sheet1!$C$6-D134)</f>
        <v>0</v>
      </c>
      <c r="F134" s="3">
        <f t="shared" si="15"/>
        <v>557078.78395859152</v>
      </c>
      <c r="G134">
        <f t="shared" si="18"/>
        <v>15701.474744759675</v>
      </c>
      <c r="H134" s="3">
        <f t="shared" si="16"/>
        <v>8.9949026005342603E-10</v>
      </c>
      <c r="I134" s="3">
        <f t="shared" si="17"/>
        <v>439999.99999999895</v>
      </c>
    </row>
    <row r="135" spans="1:9" x14ac:dyDescent="0.25">
      <c r="A135" t="str">
        <f t="shared" si="14"/>
        <v/>
      </c>
      <c r="D135" s="3">
        <f>H134*Sheet1!$C$5/12</f>
        <v>6.3713893420451022E-12</v>
      </c>
      <c r="E135" s="3">
        <f>IF(H134&lt;0.01,0,Sheet1!$C$6-D135)</f>
        <v>0</v>
      </c>
      <c r="F135" s="3">
        <f t="shared" si="15"/>
        <v>557078.78395859152</v>
      </c>
      <c r="G135">
        <f t="shared" si="18"/>
        <v>15701.474744759675</v>
      </c>
      <c r="H135" s="3">
        <f t="shared" si="16"/>
        <v>8.9949026005342603E-10</v>
      </c>
      <c r="I135" s="3">
        <f t="shared" si="17"/>
        <v>439999.99999999895</v>
      </c>
    </row>
    <row r="136" spans="1:9" x14ac:dyDescent="0.25">
      <c r="A136" t="str">
        <f t="shared" si="14"/>
        <v/>
      </c>
      <c r="D136" s="3">
        <f>H135*Sheet1!$C$5/12</f>
        <v>6.3713893420451022E-12</v>
      </c>
      <c r="E136" s="3">
        <f>IF(H135&lt;0.01,0,Sheet1!$C$6-D136)</f>
        <v>0</v>
      </c>
      <c r="F136" s="3">
        <f t="shared" si="15"/>
        <v>557078.78395859152</v>
      </c>
      <c r="G136">
        <f t="shared" si="18"/>
        <v>15701.474744759675</v>
      </c>
      <c r="H136" s="3">
        <f t="shared" si="16"/>
        <v>8.9949026005342603E-10</v>
      </c>
      <c r="I136" s="3">
        <f t="shared" si="17"/>
        <v>439999.99999999895</v>
      </c>
    </row>
    <row r="137" spans="1:9" x14ac:dyDescent="0.25">
      <c r="A137" t="str">
        <f t="shared" si="14"/>
        <v/>
      </c>
      <c r="D137" s="3">
        <f>H136*Sheet1!$C$5/12</f>
        <v>6.3713893420451022E-12</v>
      </c>
      <c r="E137" s="3">
        <f>IF(H136&lt;0.01,0,Sheet1!$C$6-D137)</f>
        <v>0</v>
      </c>
      <c r="F137" s="3">
        <f t="shared" si="15"/>
        <v>557078.78395859152</v>
      </c>
      <c r="G137">
        <f t="shared" si="18"/>
        <v>15701.474744759675</v>
      </c>
      <c r="H137" s="3">
        <f t="shared" si="16"/>
        <v>8.9949026005342603E-10</v>
      </c>
      <c r="I137" s="3">
        <f t="shared" si="17"/>
        <v>439999.99999999895</v>
      </c>
    </row>
    <row r="138" spans="1:9" x14ac:dyDescent="0.25">
      <c r="A138" t="str">
        <f t="shared" si="14"/>
        <v/>
      </c>
      <c r="D138" s="3">
        <f>H137*Sheet1!$C$5/12</f>
        <v>6.3713893420451022E-12</v>
      </c>
      <c r="E138" s="3">
        <f>IF(H137&lt;0.01,0,Sheet1!$C$6-D138)</f>
        <v>0</v>
      </c>
      <c r="F138" s="3">
        <f t="shared" si="15"/>
        <v>557078.78395859152</v>
      </c>
      <c r="G138">
        <f t="shared" si="18"/>
        <v>15701.474744759675</v>
      </c>
      <c r="H138" s="3">
        <f t="shared" si="16"/>
        <v>8.9949026005342603E-10</v>
      </c>
      <c r="I138" s="3">
        <f t="shared" si="17"/>
        <v>439999.99999999895</v>
      </c>
    </row>
    <row r="139" spans="1:9" x14ac:dyDescent="0.25">
      <c r="A139" t="str">
        <f t="shared" si="14"/>
        <v/>
      </c>
      <c r="D139" s="3">
        <f>H138*Sheet1!$C$5/12</f>
        <v>6.3713893420451022E-12</v>
      </c>
      <c r="E139" s="3">
        <f>IF(H138&lt;0.01,0,Sheet1!$C$6-D139)</f>
        <v>0</v>
      </c>
      <c r="F139" s="3">
        <f t="shared" si="15"/>
        <v>557078.78395859152</v>
      </c>
      <c r="G139">
        <f t="shared" si="18"/>
        <v>15701.474744759675</v>
      </c>
      <c r="H139" s="3">
        <f t="shared" si="16"/>
        <v>8.9949026005342603E-10</v>
      </c>
      <c r="I139" s="3">
        <f t="shared" si="17"/>
        <v>439999.99999999895</v>
      </c>
    </row>
    <row r="140" spans="1:9" x14ac:dyDescent="0.25">
      <c r="A140" t="str">
        <f t="shared" si="14"/>
        <v/>
      </c>
      <c r="D140" s="3">
        <f>H139*Sheet1!$C$5/12</f>
        <v>6.3713893420451022E-12</v>
      </c>
      <c r="E140" s="3">
        <f>IF(H139&lt;0.01,0,Sheet1!$C$6-D140)</f>
        <v>0</v>
      </c>
      <c r="F140" s="3">
        <f t="shared" si="15"/>
        <v>557078.78395859152</v>
      </c>
      <c r="G140">
        <f t="shared" si="18"/>
        <v>15701.474744759675</v>
      </c>
      <c r="H140" s="3">
        <f t="shared" si="16"/>
        <v>8.9949026005342603E-10</v>
      </c>
      <c r="I140" s="3">
        <f t="shared" si="17"/>
        <v>439999.99999999895</v>
      </c>
    </row>
    <row r="141" spans="1:9" x14ac:dyDescent="0.25">
      <c r="A141" t="str">
        <f t="shared" si="14"/>
        <v/>
      </c>
      <c r="D141" s="3">
        <f>H140*Sheet1!$C$5/12</f>
        <v>6.3713893420451022E-12</v>
      </c>
      <c r="E141" s="3">
        <f>IF(H140&lt;0.01,0,Sheet1!$C$6-D141)</f>
        <v>0</v>
      </c>
      <c r="F141" s="3">
        <f t="shared" si="15"/>
        <v>557078.78395859152</v>
      </c>
      <c r="G141">
        <f t="shared" si="18"/>
        <v>15701.474744759675</v>
      </c>
      <c r="H141" s="3">
        <f t="shared" si="16"/>
        <v>8.9949026005342603E-10</v>
      </c>
      <c r="I141" s="3">
        <f t="shared" si="17"/>
        <v>439999.99999999895</v>
      </c>
    </row>
    <row r="142" spans="1:9" x14ac:dyDescent="0.25">
      <c r="A142" t="str">
        <f t="shared" si="14"/>
        <v/>
      </c>
      <c r="D142" s="3">
        <f>H141*Sheet1!$C$5/12</f>
        <v>6.3713893420451022E-12</v>
      </c>
      <c r="E142" s="3">
        <f>IF(H141&lt;0.01,0,Sheet1!$C$6-D142)</f>
        <v>0</v>
      </c>
      <c r="F142" s="3">
        <f t="shared" si="15"/>
        <v>557078.78395859152</v>
      </c>
      <c r="G142">
        <f t="shared" si="18"/>
        <v>15701.474744759675</v>
      </c>
      <c r="H142" s="3">
        <f t="shared" si="16"/>
        <v>8.9949026005342603E-10</v>
      </c>
      <c r="I142" s="3">
        <f t="shared" si="17"/>
        <v>439999.99999999895</v>
      </c>
    </row>
    <row r="143" spans="1:9" x14ac:dyDescent="0.25">
      <c r="A143" t="str">
        <f t="shared" si="14"/>
        <v/>
      </c>
      <c r="D143" s="3">
        <f>H142*Sheet1!$C$5/12</f>
        <v>6.3713893420451022E-12</v>
      </c>
      <c r="E143" s="3">
        <f>IF(H142&lt;0.01,0,Sheet1!$C$6-D143)</f>
        <v>0</v>
      </c>
      <c r="F143" s="3">
        <f t="shared" si="15"/>
        <v>557078.78395859152</v>
      </c>
      <c r="G143">
        <f t="shared" si="18"/>
        <v>15701.474744759675</v>
      </c>
      <c r="H143" s="3">
        <f t="shared" si="16"/>
        <v>8.9949026005342603E-10</v>
      </c>
      <c r="I143" s="3">
        <f t="shared" si="17"/>
        <v>439999.99999999895</v>
      </c>
    </row>
    <row r="144" spans="1:9" x14ac:dyDescent="0.25">
      <c r="A144" t="str">
        <f t="shared" si="14"/>
        <v/>
      </c>
      <c r="D144" s="3">
        <f>H143*Sheet1!$C$5/12</f>
        <v>6.3713893420451022E-12</v>
      </c>
      <c r="E144" s="3">
        <f>IF(H143&lt;0.01,0,Sheet1!$C$6-D144)</f>
        <v>0</v>
      </c>
      <c r="F144" s="3">
        <f t="shared" si="15"/>
        <v>557078.78395859152</v>
      </c>
      <c r="G144">
        <f t="shared" si="18"/>
        <v>15701.474744759675</v>
      </c>
      <c r="H144" s="3">
        <f t="shared" si="16"/>
        <v>8.9949026005342603E-10</v>
      </c>
      <c r="I144" s="3">
        <f t="shared" si="17"/>
        <v>439999.99999999895</v>
      </c>
    </row>
    <row r="145" spans="1:9" x14ac:dyDescent="0.25">
      <c r="A145" t="str">
        <f t="shared" ref="A145:A208" si="19">IF(ISBLANK(B145),"",CEILING(B145/12,1))</f>
        <v/>
      </c>
      <c r="D145" s="3">
        <f>H144*Sheet1!$C$5/12</f>
        <v>6.3713893420451022E-12</v>
      </c>
      <c r="E145" s="3">
        <f>IF(H144&lt;0.01,0,Sheet1!$C$6-D145)</f>
        <v>0</v>
      </c>
      <c r="F145" s="3">
        <f t="shared" ref="F145:F208" si="20">F144+D145+E145</f>
        <v>557078.78395859152</v>
      </c>
      <c r="G145">
        <f t="shared" si="18"/>
        <v>15701.474744759675</v>
      </c>
      <c r="H145" s="3">
        <f t="shared" ref="H145:H208" si="21">H144-E145</f>
        <v>8.9949026005342603E-10</v>
      </c>
      <c r="I145" s="3">
        <f t="shared" ref="I145:I208" si="22">E145+I144</f>
        <v>439999.99999999895</v>
      </c>
    </row>
    <row r="146" spans="1:9" x14ac:dyDescent="0.25">
      <c r="A146" t="str">
        <f t="shared" si="19"/>
        <v/>
      </c>
      <c r="D146" s="3">
        <f>H145*Sheet1!$C$5/12</f>
        <v>6.3713893420451022E-12</v>
      </c>
      <c r="E146" s="3">
        <f>IF(H145&lt;0.01,0,Sheet1!$C$6-D146)</f>
        <v>0</v>
      </c>
      <c r="F146" s="3">
        <f t="shared" si="20"/>
        <v>557078.78395859152</v>
      </c>
      <c r="G146">
        <f t="shared" si="18"/>
        <v>15701.474744759675</v>
      </c>
      <c r="H146" s="3">
        <f t="shared" si="21"/>
        <v>8.9949026005342603E-10</v>
      </c>
      <c r="I146" s="3">
        <f t="shared" si="22"/>
        <v>439999.99999999895</v>
      </c>
    </row>
    <row r="147" spans="1:9" x14ac:dyDescent="0.25">
      <c r="A147" t="str">
        <f t="shared" si="19"/>
        <v/>
      </c>
      <c r="D147" s="3">
        <f>H146*Sheet1!$C$5/12</f>
        <v>6.3713893420451022E-12</v>
      </c>
      <c r="E147" s="3">
        <f>IF(H146&lt;0.01,0,Sheet1!$C$6-D147)</f>
        <v>0</v>
      </c>
      <c r="F147" s="3">
        <f t="shared" si="20"/>
        <v>557078.78395859152</v>
      </c>
      <c r="G147">
        <f t="shared" si="18"/>
        <v>15701.474744759675</v>
      </c>
      <c r="H147" s="3">
        <f t="shared" si="21"/>
        <v>8.9949026005342603E-10</v>
      </c>
      <c r="I147" s="3">
        <f t="shared" si="22"/>
        <v>439999.99999999895</v>
      </c>
    </row>
    <row r="148" spans="1:9" x14ac:dyDescent="0.25">
      <c r="A148" t="str">
        <f t="shared" si="19"/>
        <v/>
      </c>
      <c r="D148" s="3">
        <f>H147*Sheet1!$C$5/12</f>
        <v>6.3713893420451022E-12</v>
      </c>
      <c r="E148" s="3">
        <f>IF(H147&lt;0.01,0,Sheet1!$C$6-D148)</f>
        <v>0</v>
      </c>
      <c r="F148" s="3">
        <f t="shared" si="20"/>
        <v>557078.78395859152</v>
      </c>
      <c r="G148">
        <f t="shared" si="18"/>
        <v>15701.474744759675</v>
      </c>
      <c r="H148" s="3">
        <f t="shared" si="21"/>
        <v>8.9949026005342603E-10</v>
      </c>
      <c r="I148" s="3">
        <f t="shared" si="22"/>
        <v>439999.99999999895</v>
      </c>
    </row>
    <row r="149" spans="1:9" x14ac:dyDescent="0.25">
      <c r="A149" t="str">
        <f t="shared" si="19"/>
        <v/>
      </c>
      <c r="D149" s="3">
        <f>H148*Sheet1!$C$5/12</f>
        <v>6.3713893420451022E-12</v>
      </c>
      <c r="E149" s="3">
        <f>IF(H148&lt;0.01,0,Sheet1!$C$6-D149)</f>
        <v>0</v>
      </c>
      <c r="F149" s="3">
        <f t="shared" si="20"/>
        <v>557078.78395859152</v>
      </c>
      <c r="G149">
        <f t="shared" si="18"/>
        <v>15701.474744759675</v>
      </c>
      <c r="H149" s="3">
        <f t="shared" si="21"/>
        <v>8.9949026005342603E-10</v>
      </c>
      <c r="I149" s="3">
        <f t="shared" si="22"/>
        <v>439999.99999999895</v>
      </c>
    </row>
    <row r="150" spans="1:9" x14ac:dyDescent="0.25">
      <c r="A150" t="str">
        <f t="shared" si="19"/>
        <v/>
      </c>
      <c r="D150" s="3">
        <f>H149*Sheet1!$C$5/12</f>
        <v>6.3713893420451022E-12</v>
      </c>
      <c r="E150" s="3">
        <f>IF(H149&lt;0.01,0,Sheet1!$C$6-D150)</f>
        <v>0</v>
      </c>
      <c r="F150" s="3">
        <f t="shared" si="20"/>
        <v>557078.78395859152</v>
      </c>
      <c r="G150">
        <f t="shared" si="18"/>
        <v>15701.474744759675</v>
      </c>
      <c r="H150" s="3">
        <f t="shared" si="21"/>
        <v>8.9949026005342603E-10</v>
      </c>
      <c r="I150" s="3">
        <f t="shared" si="22"/>
        <v>439999.99999999895</v>
      </c>
    </row>
    <row r="151" spans="1:9" x14ac:dyDescent="0.25">
      <c r="A151" t="str">
        <f t="shared" si="19"/>
        <v/>
      </c>
      <c r="D151" s="3">
        <f>H150*Sheet1!$C$5/12</f>
        <v>6.3713893420451022E-12</v>
      </c>
      <c r="E151" s="3">
        <f>IF(H150&lt;0.01,0,Sheet1!$C$6-D151)</f>
        <v>0</v>
      </c>
      <c r="F151" s="3">
        <f t="shared" si="20"/>
        <v>557078.78395859152</v>
      </c>
      <c r="G151">
        <f t="shared" si="18"/>
        <v>15701.474744759675</v>
      </c>
      <c r="H151" s="3">
        <f t="shared" si="21"/>
        <v>8.9949026005342603E-10</v>
      </c>
      <c r="I151" s="3">
        <f t="shared" si="22"/>
        <v>439999.99999999895</v>
      </c>
    </row>
    <row r="152" spans="1:9" x14ac:dyDescent="0.25">
      <c r="A152" t="str">
        <f t="shared" si="19"/>
        <v/>
      </c>
      <c r="D152" s="3">
        <f>H151*Sheet1!$C$5/12</f>
        <v>6.3713893420451022E-12</v>
      </c>
      <c r="E152" s="3">
        <f>IF(H151&lt;0.01,0,Sheet1!$C$6-D152)</f>
        <v>0</v>
      </c>
      <c r="F152" s="3">
        <f t="shared" si="20"/>
        <v>557078.78395859152</v>
      </c>
      <c r="G152">
        <f t="shared" si="18"/>
        <v>15701.474744759675</v>
      </c>
      <c r="H152" s="3">
        <f t="shared" si="21"/>
        <v>8.9949026005342603E-10</v>
      </c>
      <c r="I152" s="3">
        <f t="shared" si="22"/>
        <v>439999.99999999895</v>
      </c>
    </row>
    <row r="153" spans="1:9" x14ac:dyDescent="0.25">
      <c r="A153" t="str">
        <f t="shared" si="19"/>
        <v/>
      </c>
      <c r="D153" s="3">
        <f>H152*Sheet1!$C$5/12</f>
        <v>6.3713893420451022E-12</v>
      </c>
      <c r="E153" s="3">
        <f>IF(H152&lt;0.01,0,Sheet1!$C$6-D153)</f>
        <v>0</v>
      </c>
      <c r="F153" s="3">
        <f t="shared" si="20"/>
        <v>557078.78395859152</v>
      </c>
      <c r="G153">
        <f t="shared" si="18"/>
        <v>15701.474744759675</v>
      </c>
      <c r="H153" s="3">
        <f t="shared" si="21"/>
        <v>8.9949026005342603E-10</v>
      </c>
      <c r="I153" s="3">
        <f t="shared" si="22"/>
        <v>439999.99999999895</v>
      </c>
    </row>
    <row r="154" spans="1:9" x14ac:dyDescent="0.25">
      <c r="A154" t="str">
        <f t="shared" si="19"/>
        <v/>
      </c>
      <c r="D154" s="3">
        <f>H153*Sheet1!$C$5/12</f>
        <v>6.3713893420451022E-12</v>
      </c>
      <c r="E154" s="3">
        <f>IF(H153&lt;0.01,0,Sheet1!$C$6-D154)</f>
        <v>0</v>
      </c>
      <c r="F154" s="3">
        <f t="shared" si="20"/>
        <v>557078.78395859152</v>
      </c>
      <c r="G154">
        <f t="shared" si="18"/>
        <v>15701.474744759675</v>
      </c>
      <c r="H154" s="3">
        <f t="shared" si="21"/>
        <v>8.9949026005342603E-10</v>
      </c>
      <c r="I154" s="3">
        <f t="shared" si="22"/>
        <v>439999.99999999895</v>
      </c>
    </row>
    <row r="155" spans="1:9" x14ac:dyDescent="0.25">
      <c r="A155" t="str">
        <f t="shared" si="19"/>
        <v/>
      </c>
      <c r="D155" s="3">
        <f>H154*Sheet1!$C$5/12</f>
        <v>6.3713893420451022E-12</v>
      </c>
      <c r="E155" s="3">
        <f>IF(H154&lt;0.01,0,Sheet1!$C$6-D155)</f>
        <v>0</v>
      </c>
      <c r="F155" s="3">
        <f t="shared" si="20"/>
        <v>557078.78395859152</v>
      </c>
      <c r="G155">
        <f t="shared" si="18"/>
        <v>15701.474744759675</v>
      </c>
      <c r="H155" s="3">
        <f t="shared" si="21"/>
        <v>8.9949026005342603E-10</v>
      </c>
      <c r="I155" s="3">
        <f t="shared" si="22"/>
        <v>439999.99999999895</v>
      </c>
    </row>
    <row r="156" spans="1:9" x14ac:dyDescent="0.25">
      <c r="A156" t="str">
        <f t="shared" si="19"/>
        <v/>
      </c>
      <c r="D156" s="3">
        <f>H155*Sheet1!$C$5/12</f>
        <v>6.3713893420451022E-12</v>
      </c>
      <c r="E156" s="3">
        <f>IF(H155&lt;0.01,0,Sheet1!$C$6-D156)</f>
        <v>0</v>
      </c>
      <c r="F156" s="3">
        <f t="shared" si="20"/>
        <v>557078.78395859152</v>
      </c>
      <c r="G156">
        <f t="shared" si="18"/>
        <v>15701.474744759675</v>
      </c>
      <c r="H156" s="3">
        <f t="shared" si="21"/>
        <v>8.9949026005342603E-10</v>
      </c>
      <c r="I156" s="3">
        <f t="shared" si="22"/>
        <v>439999.99999999895</v>
      </c>
    </row>
    <row r="157" spans="1:9" x14ac:dyDescent="0.25">
      <c r="A157" t="str">
        <f t="shared" si="19"/>
        <v/>
      </c>
      <c r="D157" s="3">
        <f>H156*Sheet1!$C$5/12</f>
        <v>6.3713893420451022E-12</v>
      </c>
      <c r="E157" s="3">
        <f>IF(H156&lt;0.01,0,Sheet1!$C$6-D157)</f>
        <v>0</v>
      </c>
      <c r="F157" s="3">
        <f t="shared" si="20"/>
        <v>557078.78395859152</v>
      </c>
      <c r="G157">
        <f t="shared" si="18"/>
        <v>15701.474744759675</v>
      </c>
      <c r="H157" s="3">
        <f t="shared" si="21"/>
        <v>8.9949026005342603E-10</v>
      </c>
      <c r="I157" s="3">
        <f t="shared" si="22"/>
        <v>439999.99999999895</v>
      </c>
    </row>
    <row r="158" spans="1:9" x14ac:dyDescent="0.25">
      <c r="A158" t="str">
        <f t="shared" si="19"/>
        <v/>
      </c>
      <c r="D158" s="3">
        <f>H157*Sheet1!$C$5/12</f>
        <v>6.3713893420451022E-12</v>
      </c>
      <c r="E158" s="3">
        <f>IF(H157&lt;0.01,0,Sheet1!$C$6-D158)</f>
        <v>0</v>
      </c>
      <c r="F158" s="3">
        <f t="shared" si="20"/>
        <v>557078.78395859152</v>
      </c>
      <c r="G158">
        <f t="shared" si="18"/>
        <v>15701.474744759675</v>
      </c>
      <c r="H158" s="3">
        <f t="shared" si="21"/>
        <v>8.9949026005342603E-10</v>
      </c>
      <c r="I158" s="3">
        <f t="shared" si="22"/>
        <v>439999.99999999895</v>
      </c>
    </row>
    <row r="159" spans="1:9" x14ac:dyDescent="0.25">
      <c r="A159" t="str">
        <f t="shared" si="19"/>
        <v/>
      </c>
      <c r="D159" s="3">
        <f>H158*Sheet1!$C$5/12</f>
        <v>6.3713893420451022E-12</v>
      </c>
      <c r="E159" s="3">
        <f>IF(H158&lt;0.01,0,Sheet1!$C$6-D159)</f>
        <v>0</v>
      </c>
      <c r="F159" s="3">
        <f t="shared" si="20"/>
        <v>557078.78395859152</v>
      </c>
      <c r="G159">
        <f t="shared" si="18"/>
        <v>15701.474744759675</v>
      </c>
      <c r="H159" s="3">
        <f t="shared" si="21"/>
        <v>8.9949026005342603E-10</v>
      </c>
      <c r="I159" s="3">
        <f t="shared" si="22"/>
        <v>439999.99999999895</v>
      </c>
    </row>
    <row r="160" spans="1:9" x14ac:dyDescent="0.25">
      <c r="A160" t="str">
        <f t="shared" si="19"/>
        <v/>
      </c>
      <c r="D160" s="3">
        <f>H159*Sheet1!$C$5/12</f>
        <v>6.3713893420451022E-12</v>
      </c>
      <c r="E160" s="3">
        <f>IF(H159&lt;0.01,0,Sheet1!$C$6-D160)</f>
        <v>0</v>
      </c>
      <c r="F160" s="3">
        <f t="shared" si="20"/>
        <v>557078.78395859152</v>
      </c>
      <c r="G160">
        <f t="shared" si="18"/>
        <v>15701.474744759675</v>
      </c>
      <c r="H160" s="3">
        <f t="shared" si="21"/>
        <v>8.9949026005342603E-10</v>
      </c>
      <c r="I160" s="3">
        <f t="shared" si="22"/>
        <v>439999.99999999895</v>
      </c>
    </row>
    <row r="161" spans="1:9" x14ac:dyDescent="0.25">
      <c r="A161" t="str">
        <f t="shared" si="19"/>
        <v/>
      </c>
      <c r="D161" s="3">
        <f>H160*Sheet1!$C$5/12</f>
        <v>6.3713893420451022E-12</v>
      </c>
      <c r="E161" s="3">
        <f>IF(H160&lt;0.01,0,Sheet1!$C$6-D161)</f>
        <v>0</v>
      </c>
      <c r="F161" s="3">
        <f t="shared" si="20"/>
        <v>557078.78395859152</v>
      </c>
      <c r="G161">
        <f t="shared" si="18"/>
        <v>15701.474744759675</v>
      </c>
      <c r="H161" s="3">
        <f t="shared" si="21"/>
        <v>8.9949026005342603E-10</v>
      </c>
      <c r="I161" s="3">
        <f t="shared" si="22"/>
        <v>439999.99999999895</v>
      </c>
    </row>
    <row r="162" spans="1:9" x14ac:dyDescent="0.25">
      <c r="A162" t="str">
        <f t="shared" si="19"/>
        <v/>
      </c>
      <c r="D162" s="3">
        <f>H161*Sheet1!$C$5/12</f>
        <v>6.3713893420451022E-12</v>
      </c>
      <c r="E162" s="3">
        <f>IF(H161&lt;0.01,0,Sheet1!$C$6-D162)</f>
        <v>0</v>
      </c>
      <c r="F162" s="3">
        <f t="shared" si="20"/>
        <v>557078.78395859152</v>
      </c>
      <c r="G162">
        <f t="shared" si="18"/>
        <v>15701.474744759675</v>
      </c>
      <c r="H162" s="3">
        <f t="shared" si="21"/>
        <v>8.9949026005342603E-10</v>
      </c>
      <c r="I162" s="3">
        <f t="shared" si="22"/>
        <v>439999.99999999895</v>
      </c>
    </row>
    <row r="163" spans="1:9" x14ac:dyDescent="0.25">
      <c r="A163" t="str">
        <f t="shared" si="19"/>
        <v/>
      </c>
      <c r="D163" s="3">
        <f>H162*Sheet1!$C$5/12</f>
        <v>6.3713893420451022E-12</v>
      </c>
      <c r="E163" s="3">
        <f>IF(H162&lt;0.01,0,Sheet1!$C$6-D163)</f>
        <v>0</v>
      </c>
      <c r="F163" s="3">
        <f t="shared" si="20"/>
        <v>557078.78395859152</v>
      </c>
      <c r="G163">
        <f t="shared" si="18"/>
        <v>15701.474744759675</v>
      </c>
      <c r="H163" s="3">
        <f t="shared" si="21"/>
        <v>8.9949026005342603E-10</v>
      </c>
      <c r="I163" s="3">
        <f t="shared" si="22"/>
        <v>439999.99999999895</v>
      </c>
    </row>
    <row r="164" spans="1:9" x14ac:dyDescent="0.25">
      <c r="A164" t="str">
        <f t="shared" si="19"/>
        <v/>
      </c>
      <c r="D164" s="3">
        <f>H163*Sheet1!$C$5/12</f>
        <v>6.3713893420451022E-12</v>
      </c>
      <c r="E164" s="3">
        <f>IF(H163&lt;0.01,0,Sheet1!$C$6-D164)</f>
        <v>0</v>
      </c>
      <c r="F164" s="3">
        <f t="shared" si="20"/>
        <v>557078.78395859152</v>
      </c>
      <c r="G164">
        <f t="shared" si="18"/>
        <v>15701.474744759675</v>
      </c>
      <c r="H164" s="3">
        <f t="shared" si="21"/>
        <v>8.9949026005342603E-10</v>
      </c>
      <c r="I164" s="3">
        <f t="shared" si="22"/>
        <v>439999.99999999895</v>
      </c>
    </row>
    <row r="165" spans="1:9" x14ac:dyDescent="0.25">
      <c r="A165" t="str">
        <f t="shared" si="19"/>
        <v/>
      </c>
      <c r="D165" s="3">
        <f>H164*Sheet1!$C$5/12</f>
        <v>6.3713893420451022E-12</v>
      </c>
      <c r="E165" s="3">
        <f>IF(H164&lt;0.01,0,Sheet1!$C$6-D165)</f>
        <v>0</v>
      </c>
      <c r="F165" s="3">
        <f t="shared" si="20"/>
        <v>557078.78395859152</v>
      </c>
      <c r="G165">
        <f t="shared" si="18"/>
        <v>15701.474744759675</v>
      </c>
      <c r="H165" s="3">
        <f t="shared" si="21"/>
        <v>8.9949026005342603E-10</v>
      </c>
      <c r="I165" s="3">
        <f t="shared" si="22"/>
        <v>439999.99999999895</v>
      </c>
    </row>
    <row r="166" spans="1:9" x14ac:dyDescent="0.25">
      <c r="A166" t="str">
        <f t="shared" si="19"/>
        <v/>
      </c>
      <c r="D166" s="3">
        <f>H165*Sheet1!$C$5/12</f>
        <v>6.3713893420451022E-12</v>
      </c>
      <c r="E166" s="3">
        <f>IF(H165&lt;0.01,0,Sheet1!$C$6-D166)</f>
        <v>0</v>
      </c>
      <c r="F166" s="3">
        <f t="shared" si="20"/>
        <v>557078.78395859152</v>
      </c>
      <c r="G166">
        <f t="shared" si="18"/>
        <v>15701.474744759675</v>
      </c>
      <c r="H166" s="3">
        <f t="shared" si="21"/>
        <v>8.9949026005342603E-10</v>
      </c>
      <c r="I166" s="3">
        <f t="shared" si="22"/>
        <v>439999.99999999895</v>
      </c>
    </row>
    <row r="167" spans="1:9" x14ac:dyDescent="0.25">
      <c r="A167" t="str">
        <f t="shared" si="19"/>
        <v/>
      </c>
      <c r="D167" s="3">
        <f>H166*Sheet1!$C$5/12</f>
        <v>6.3713893420451022E-12</v>
      </c>
      <c r="E167" s="3">
        <f>IF(H166&lt;0.01,0,Sheet1!$C$6-D167)</f>
        <v>0</v>
      </c>
      <c r="F167" s="3">
        <f t="shared" si="20"/>
        <v>557078.78395859152</v>
      </c>
      <c r="G167">
        <f t="shared" si="18"/>
        <v>15701.474744759675</v>
      </c>
      <c r="H167" s="3">
        <f t="shared" si="21"/>
        <v>8.9949026005342603E-10</v>
      </c>
      <c r="I167" s="3">
        <f t="shared" si="22"/>
        <v>439999.99999999895</v>
      </c>
    </row>
    <row r="168" spans="1:9" x14ac:dyDescent="0.25">
      <c r="A168" t="str">
        <f t="shared" si="19"/>
        <v/>
      </c>
      <c r="D168" s="3">
        <f>H167*Sheet1!$C$5/12</f>
        <v>6.3713893420451022E-12</v>
      </c>
      <c r="E168" s="3">
        <f>IF(H167&lt;0.01,0,Sheet1!$C$6-D168)</f>
        <v>0</v>
      </c>
      <c r="F168" s="3">
        <f t="shared" si="20"/>
        <v>557078.78395859152</v>
      </c>
      <c r="G168">
        <f t="shared" si="18"/>
        <v>15701.474744759675</v>
      </c>
      <c r="H168" s="3">
        <f t="shared" si="21"/>
        <v>8.9949026005342603E-10</v>
      </c>
      <c r="I168" s="3">
        <f t="shared" si="22"/>
        <v>439999.99999999895</v>
      </c>
    </row>
    <row r="169" spans="1:9" x14ac:dyDescent="0.25">
      <c r="A169" t="str">
        <f t="shared" si="19"/>
        <v/>
      </c>
      <c r="D169" s="3">
        <f>H168*Sheet1!$C$5/12</f>
        <v>6.3713893420451022E-12</v>
      </c>
      <c r="E169" s="3">
        <f>IF(H168&lt;0.01,0,Sheet1!$C$6-D169)</f>
        <v>0</v>
      </c>
      <c r="F169" s="3">
        <f t="shared" si="20"/>
        <v>557078.78395859152</v>
      </c>
      <c r="G169">
        <f t="shared" si="18"/>
        <v>15701.474744759675</v>
      </c>
      <c r="H169" s="3">
        <f t="shared" si="21"/>
        <v>8.9949026005342603E-10</v>
      </c>
      <c r="I169" s="3">
        <f t="shared" si="22"/>
        <v>439999.99999999895</v>
      </c>
    </row>
    <row r="170" spans="1:9" x14ac:dyDescent="0.25">
      <c r="A170" t="str">
        <f t="shared" si="19"/>
        <v/>
      </c>
      <c r="D170" s="3">
        <f>H169*Sheet1!$C$5/12</f>
        <v>6.3713893420451022E-12</v>
      </c>
      <c r="E170" s="3">
        <f>IF(H169&lt;0.01,0,Sheet1!$C$6-D170)</f>
        <v>0</v>
      </c>
      <c r="F170" s="3">
        <f t="shared" si="20"/>
        <v>557078.78395859152</v>
      </c>
      <c r="G170">
        <f t="shared" si="18"/>
        <v>15701.474744759675</v>
      </c>
      <c r="H170" s="3">
        <f t="shared" si="21"/>
        <v>8.9949026005342603E-10</v>
      </c>
      <c r="I170" s="3">
        <f t="shared" si="22"/>
        <v>439999.99999999895</v>
      </c>
    </row>
    <row r="171" spans="1:9" x14ac:dyDescent="0.25">
      <c r="A171" t="str">
        <f t="shared" si="19"/>
        <v/>
      </c>
      <c r="D171" s="3">
        <f>H170*Sheet1!$C$5/12</f>
        <v>6.3713893420451022E-12</v>
      </c>
      <c r="E171" s="3">
        <f>IF(H170&lt;0.01,0,Sheet1!$C$6-D171)</f>
        <v>0</v>
      </c>
      <c r="F171" s="3">
        <f t="shared" si="20"/>
        <v>557078.78395859152</v>
      </c>
      <c r="G171">
        <f t="shared" si="18"/>
        <v>15701.474744759675</v>
      </c>
      <c r="H171" s="3">
        <f t="shared" si="21"/>
        <v>8.9949026005342603E-10</v>
      </c>
      <c r="I171" s="3">
        <f t="shared" si="22"/>
        <v>439999.99999999895</v>
      </c>
    </row>
    <row r="172" spans="1:9" x14ac:dyDescent="0.25">
      <c r="A172" t="str">
        <f t="shared" si="19"/>
        <v/>
      </c>
      <c r="D172" s="3">
        <f>H171*Sheet1!$C$5/12</f>
        <v>6.3713893420451022E-12</v>
      </c>
      <c r="E172" s="3">
        <f>IF(H171&lt;0.01,0,Sheet1!$C$6-D172)</f>
        <v>0</v>
      </c>
      <c r="F172" s="3">
        <f t="shared" si="20"/>
        <v>557078.78395859152</v>
      </c>
      <c r="G172">
        <f t="shared" si="18"/>
        <v>15701.474744759675</v>
      </c>
      <c r="H172" s="3">
        <f t="shared" si="21"/>
        <v>8.9949026005342603E-10</v>
      </c>
      <c r="I172" s="3">
        <f t="shared" si="22"/>
        <v>439999.99999999895</v>
      </c>
    </row>
    <row r="173" spans="1:9" x14ac:dyDescent="0.25">
      <c r="A173" t="str">
        <f t="shared" si="19"/>
        <v/>
      </c>
      <c r="D173" s="3">
        <f>H172*Sheet1!$C$5/12</f>
        <v>6.3713893420451022E-12</v>
      </c>
      <c r="E173" s="3">
        <f>IF(H172&lt;0.01,0,Sheet1!$C$6-D173)</f>
        <v>0</v>
      </c>
      <c r="F173" s="3">
        <f t="shared" si="20"/>
        <v>557078.78395859152</v>
      </c>
      <c r="G173">
        <f t="shared" si="18"/>
        <v>15701.474744759675</v>
      </c>
      <c r="H173" s="3">
        <f t="shared" si="21"/>
        <v>8.9949026005342603E-10</v>
      </c>
      <c r="I173" s="3">
        <f t="shared" si="22"/>
        <v>439999.99999999895</v>
      </c>
    </row>
    <row r="174" spans="1:9" x14ac:dyDescent="0.25">
      <c r="A174" t="str">
        <f t="shared" si="19"/>
        <v/>
      </c>
      <c r="D174" s="3">
        <f>H173*Sheet1!$C$5/12</f>
        <v>6.3713893420451022E-12</v>
      </c>
      <c r="E174" s="3">
        <f>IF(H173&lt;0.01,0,Sheet1!$C$6-D174)</f>
        <v>0</v>
      </c>
      <c r="F174" s="3">
        <f t="shared" si="20"/>
        <v>557078.78395859152</v>
      </c>
      <c r="G174">
        <f t="shared" si="18"/>
        <v>15701.474744759675</v>
      </c>
      <c r="H174" s="3">
        <f t="shared" si="21"/>
        <v>8.9949026005342603E-10</v>
      </c>
      <c r="I174" s="3">
        <f t="shared" si="22"/>
        <v>439999.99999999895</v>
      </c>
    </row>
    <row r="175" spans="1:9" x14ac:dyDescent="0.25">
      <c r="A175" t="str">
        <f t="shared" si="19"/>
        <v/>
      </c>
      <c r="D175" s="3">
        <f>H174*Sheet1!$C$5/12</f>
        <v>6.3713893420451022E-12</v>
      </c>
      <c r="E175" s="3">
        <f>IF(H174&lt;0.01,0,Sheet1!$C$6-D175)</f>
        <v>0</v>
      </c>
      <c r="F175" s="3">
        <f t="shared" si="20"/>
        <v>557078.78395859152</v>
      </c>
      <c r="G175">
        <f t="shared" si="18"/>
        <v>15701.474744759675</v>
      </c>
      <c r="H175" s="3">
        <f t="shared" si="21"/>
        <v>8.9949026005342603E-10</v>
      </c>
      <c r="I175" s="3">
        <f t="shared" si="22"/>
        <v>439999.99999999895</v>
      </c>
    </row>
    <row r="176" spans="1:9" x14ac:dyDescent="0.25">
      <c r="A176" t="str">
        <f t="shared" si="19"/>
        <v/>
      </c>
      <c r="D176" s="3">
        <f>H175*Sheet1!$C$5/12</f>
        <v>6.3713893420451022E-12</v>
      </c>
      <c r="E176" s="3">
        <f>IF(H175&lt;0.01,0,Sheet1!$C$6-D176)</f>
        <v>0</v>
      </c>
      <c r="F176" s="3">
        <f t="shared" si="20"/>
        <v>557078.78395859152</v>
      </c>
      <c r="G176">
        <f t="shared" si="18"/>
        <v>15701.474744759675</v>
      </c>
      <c r="H176" s="3">
        <f t="shared" si="21"/>
        <v>8.9949026005342603E-10</v>
      </c>
      <c r="I176" s="3">
        <f t="shared" si="22"/>
        <v>439999.99999999895</v>
      </c>
    </row>
    <row r="177" spans="1:9" x14ac:dyDescent="0.25">
      <c r="A177" t="str">
        <f t="shared" si="19"/>
        <v/>
      </c>
      <c r="D177" s="3">
        <f>H176*Sheet1!$C$5/12</f>
        <v>6.3713893420451022E-12</v>
      </c>
      <c r="E177" s="3">
        <f>IF(H176&lt;0.01,0,Sheet1!$C$6-D177)</f>
        <v>0</v>
      </c>
      <c r="F177" s="3">
        <f t="shared" si="20"/>
        <v>557078.78395859152</v>
      </c>
      <c r="G177">
        <f t="shared" si="18"/>
        <v>15701.474744759675</v>
      </c>
      <c r="H177" s="3">
        <f t="shared" si="21"/>
        <v>8.9949026005342603E-10</v>
      </c>
      <c r="I177" s="3">
        <f t="shared" si="22"/>
        <v>439999.99999999895</v>
      </c>
    </row>
    <row r="178" spans="1:9" x14ac:dyDescent="0.25">
      <c r="A178" t="str">
        <f t="shared" si="19"/>
        <v/>
      </c>
      <c r="D178" s="3">
        <f>H177*Sheet1!$C$5/12</f>
        <v>6.3713893420451022E-12</v>
      </c>
      <c r="E178" s="3">
        <f>IF(H177&lt;0.01,0,Sheet1!$C$6-D178)</f>
        <v>0</v>
      </c>
      <c r="F178" s="3">
        <f t="shared" si="20"/>
        <v>557078.78395859152</v>
      </c>
      <c r="G178">
        <f t="shared" si="18"/>
        <v>15701.474744759675</v>
      </c>
      <c r="H178" s="3">
        <f t="shared" si="21"/>
        <v>8.9949026005342603E-10</v>
      </c>
      <c r="I178" s="3">
        <f t="shared" si="22"/>
        <v>439999.99999999895</v>
      </c>
    </row>
    <row r="179" spans="1:9" x14ac:dyDescent="0.25">
      <c r="A179" t="str">
        <f t="shared" si="19"/>
        <v/>
      </c>
      <c r="D179" s="3">
        <f>H178*Sheet1!$C$5/12</f>
        <v>6.3713893420451022E-12</v>
      </c>
      <c r="E179" s="3">
        <f>IF(H178&lt;0.01,0,Sheet1!$C$6-D179)</f>
        <v>0</v>
      </c>
      <c r="F179" s="3">
        <f t="shared" si="20"/>
        <v>557078.78395859152</v>
      </c>
      <c r="G179">
        <f t="shared" si="18"/>
        <v>15701.474744759675</v>
      </c>
      <c r="H179" s="3">
        <f t="shared" si="21"/>
        <v>8.9949026005342603E-10</v>
      </c>
      <c r="I179" s="3">
        <f t="shared" si="22"/>
        <v>439999.99999999895</v>
      </c>
    </row>
    <row r="180" spans="1:9" x14ac:dyDescent="0.25">
      <c r="A180" t="str">
        <f t="shared" si="19"/>
        <v/>
      </c>
      <c r="D180" s="3">
        <f>H179*Sheet1!$C$5/12</f>
        <v>6.3713893420451022E-12</v>
      </c>
      <c r="E180" s="3">
        <f>IF(H179&lt;0.01,0,Sheet1!$C$6-D180)</f>
        <v>0</v>
      </c>
      <c r="F180" s="3">
        <f t="shared" si="20"/>
        <v>557078.78395859152</v>
      </c>
      <c r="G180">
        <f t="shared" si="18"/>
        <v>15701.474744759675</v>
      </c>
      <c r="H180" s="3">
        <f t="shared" si="21"/>
        <v>8.9949026005342603E-10</v>
      </c>
      <c r="I180" s="3">
        <f t="shared" si="22"/>
        <v>439999.99999999895</v>
      </c>
    </row>
    <row r="181" spans="1:9" x14ac:dyDescent="0.25">
      <c r="A181" t="str">
        <f t="shared" si="19"/>
        <v/>
      </c>
      <c r="D181" s="3">
        <f>H180*Sheet1!$C$5/12</f>
        <v>6.3713893420451022E-12</v>
      </c>
      <c r="E181" s="3">
        <f>IF(H180&lt;0.01,0,Sheet1!$C$6-D181)</f>
        <v>0</v>
      </c>
      <c r="F181" s="3">
        <f t="shared" si="20"/>
        <v>557078.78395859152</v>
      </c>
      <c r="G181">
        <f t="shared" si="18"/>
        <v>15701.474744759675</v>
      </c>
      <c r="H181" s="3">
        <f t="shared" si="21"/>
        <v>8.9949026005342603E-10</v>
      </c>
      <c r="I181" s="3">
        <f t="shared" si="22"/>
        <v>439999.99999999895</v>
      </c>
    </row>
    <row r="182" spans="1:9" x14ac:dyDescent="0.25">
      <c r="A182" t="str">
        <f t="shared" si="19"/>
        <v/>
      </c>
      <c r="D182" s="3">
        <f>H181*Sheet1!$C$5/12</f>
        <v>6.3713893420451022E-12</v>
      </c>
      <c r="E182" s="3">
        <f>IF(H181&lt;0.01,0,Sheet1!$C$6-D182)</f>
        <v>0</v>
      </c>
      <c r="F182" s="3">
        <f t="shared" si="20"/>
        <v>557078.78395859152</v>
      </c>
      <c r="G182">
        <f t="shared" si="18"/>
        <v>15701.474744759675</v>
      </c>
      <c r="H182" s="3">
        <f t="shared" si="21"/>
        <v>8.9949026005342603E-10</v>
      </c>
      <c r="I182" s="3">
        <f t="shared" si="22"/>
        <v>439999.99999999895</v>
      </c>
    </row>
    <row r="183" spans="1:9" x14ac:dyDescent="0.25">
      <c r="A183" t="str">
        <f t="shared" si="19"/>
        <v/>
      </c>
      <c r="D183" s="3">
        <f>H182*Sheet1!$C$5/12</f>
        <v>6.3713893420451022E-12</v>
      </c>
      <c r="E183" s="3">
        <f>IF(H182&lt;0.01,0,Sheet1!$C$6-D183)</f>
        <v>0</v>
      </c>
      <c r="F183" s="3">
        <f t="shared" si="20"/>
        <v>557078.78395859152</v>
      </c>
      <c r="G183">
        <f t="shared" si="18"/>
        <v>15701.474744759675</v>
      </c>
      <c r="H183" s="3">
        <f t="shared" si="21"/>
        <v>8.9949026005342603E-10</v>
      </c>
      <c r="I183" s="3">
        <f t="shared" si="22"/>
        <v>439999.99999999895</v>
      </c>
    </row>
    <row r="184" spans="1:9" x14ac:dyDescent="0.25">
      <c r="A184" t="str">
        <f t="shared" si="19"/>
        <v/>
      </c>
      <c r="D184" s="3">
        <f>H183*Sheet1!$C$5/12</f>
        <v>6.3713893420451022E-12</v>
      </c>
      <c r="E184" s="3">
        <f>IF(H183&lt;0.01,0,Sheet1!$C$6-D184)</f>
        <v>0</v>
      </c>
      <c r="F184" s="3">
        <f t="shared" si="20"/>
        <v>557078.78395859152</v>
      </c>
      <c r="G184">
        <f t="shared" si="18"/>
        <v>15701.474744759675</v>
      </c>
      <c r="H184" s="3">
        <f t="shared" si="21"/>
        <v>8.9949026005342603E-10</v>
      </c>
      <c r="I184" s="3">
        <f t="shared" si="22"/>
        <v>439999.99999999895</v>
      </c>
    </row>
    <row r="185" spans="1:9" x14ac:dyDescent="0.25">
      <c r="A185" t="str">
        <f t="shared" si="19"/>
        <v/>
      </c>
      <c r="D185" s="3">
        <f>H184*Sheet1!$C$5/12</f>
        <v>6.3713893420451022E-12</v>
      </c>
      <c r="E185" s="3">
        <f>IF(H184&lt;0.01,0,Sheet1!$C$6-D185)</f>
        <v>0</v>
      </c>
      <c r="F185" s="3">
        <f t="shared" si="20"/>
        <v>557078.78395859152</v>
      </c>
      <c r="G185">
        <f t="shared" si="18"/>
        <v>15701.474744759675</v>
      </c>
      <c r="H185" s="3">
        <f t="shared" si="21"/>
        <v>8.9949026005342603E-10</v>
      </c>
      <c r="I185" s="3">
        <f t="shared" si="22"/>
        <v>439999.99999999895</v>
      </c>
    </row>
    <row r="186" spans="1:9" x14ac:dyDescent="0.25">
      <c r="A186" t="str">
        <f t="shared" si="19"/>
        <v/>
      </c>
      <c r="D186" s="3">
        <f>H185*Sheet1!$C$5/12</f>
        <v>6.3713893420451022E-12</v>
      </c>
      <c r="E186" s="3">
        <f>IF(H185&lt;0.01,0,Sheet1!$C$6-D186)</f>
        <v>0</v>
      </c>
      <c r="F186" s="3">
        <f t="shared" si="20"/>
        <v>557078.78395859152</v>
      </c>
      <c r="G186">
        <f t="shared" si="18"/>
        <v>15701.474744759675</v>
      </c>
      <c r="H186" s="3">
        <f t="shared" si="21"/>
        <v>8.9949026005342603E-10</v>
      </c>
      <c r="I186" s="3">
        <f t="shared" si="22"/>
        <v>439999.99999999895</v>
      </c>
    </row>
    <row r="187" spans="1:9" x14ac:dyDescent="0.25">
      <c r="A187" t="str">
        <f t="shared" si="19"/>
        <v/>
      </c>
      <c r="D187" s="3">
        <f>H186*Sheet1!$C$5/12</f>
        <v>6.3713893420451022E-12</v>
      </c>
      <c r="E187" s="3">
        <f>IF(H186&lt;0.01,0,Sheet1!$C$6-D187)</f>
        <v>0</v>
      </c>
      <c r="F187" s="3">
        <f t="shared" si="20"/>
        <v>557078.78395859152</v>
      </c>
      <c r="G187">
        <f t="shared" si="18"/>
        <v>15701.474744759675</v>
      </c>
      <c r="H187" s="3">
        <f t="shared" si="21"/>
        <v>8.9949026005342603E-10</v>
      </c>
      <c r="I187" s="3">
        <f t="shared" si="22"/>
        <v>439999.99999999895</v>
      </c>
    </row>
    <row r="188" spans="1:9" x14ac:dyDescent="0.25">
      <c r="A188" t="str">
        <f t="shared" si="19"/>
        <v/>
      </c>
      <c r="D188" s="3">
        <f>H187*Sheet1!$C$5/12</f>
        <v>6.3713893420451022E-12</v>
      </c>
      <c r="E188" s="3">
        <f>IF(H187&lt;0.01,0,Sheet1!$C$6-D188)</f>
        <v>0</v>
      </c>
      <c r="F188" s="3">
        <f t="shared" si="20"/>
        <v>557078.78395859152</v>
      </c>
      <c r="G188">
        <f t="shared" si="18"/>
        <v>15701.474744759675</v>
      </c>
      <c r="H188" s="3">
        <f t="shared" si="21"/>
        <v>8.9949026005342603E-10</v>
      </c>
      <c r="I188" s="3">
        <f t="shared" si="22"/>
        <v>439999.99999999895</v>
      </c>
    </row>
    <row r="189" spans="1:9" x14ac:dyDescent="0.25">
      <c r="A189" t="str">
        <f t="shared" si="19"/>
        <v/>
      </c>
      <c r="D189" s="3">
        <f>H188*Sheet1!$C$5/12</f>
        <v>6.3713893420451022E-12</v>
      </c>
      <c r="E189" s="3">
        <f>IF(H188&lt;0.01,0,Sheet1!$C$6-D189)</f>
        <v>0</v>
      </c>
      <c r="F189" s="3">
        <f t="shared" si="20"/>
        <v>557078.78395859152</v>
      </c>
      <c r="G189">
        <f t="shared" si="18"/>
        <v>15701.474744759675</v>
      </c>
      <c r="H189" s="3">
        <f t="shared" si="21"/>
        <v>8.9949026005342603E-10</v>
      </c>
      <c r="I189" s="3">
        <f t="shared" si="22"/>
        <v>439999.99999999895</v>
      </c>
    </row>
    <row r="190" spans="1:9" x14ac:dyDescent="0.25">
      <c r="A190" t="str">
        <f t="shared" si="19"/>
        <v/>
      </c>
      <c r="D190" s="3">
        <f>H189*Sheet1!$C$5/12</f>
        <v>6.3713893420451022E-12</v>
      </c>
      <c r="E190" s="3">
        <f>IF(H189&lt;0.01,0,Sheet1!$C$6-D190)</f>
        <v>0</v>
      </c>
      <c r="F190" s="3">
        <f t="shared" si="20"/>
        <v>557078.78395859152</v>
      </c>
      <c r="G190">
        <f t="shared" si="18"/>
        <v>15701.474744759675</v>
      </c>
      <c r="H190" s="3">
        <f t="shared" si="21"/>
        <v>8.9949026005342603E-10</v>
      </c>
      <c r="I190" s="3">
        <f t="shared" si="22"/>
        <v>439999.99999999895</v>
      </c>
    </row>
    <row r="191" spans="1:9" x14ac:dyDescent="0.25">
      <c r="A191" t="str">
        <f t="shared" si="19"/>
        <v/>
      </c>
      <c r="D191" s="3">
        <f>H190*Sheet1!$C$5/12</f>
        <v>6.3713893420451022E-12</v>
      </c>
      <c r="E191" s="3">
        <f>IF(H190&lt;0.01,0,Sheet1!$C$6-D191)</f>
        <v>0</v>
      </c>
      <c r="F191" s="3">
        <f t="shared" si="20"/>
        <v>557078.78395859152</v>
      </c>
      <c r="G191">
        <f t="shared" si="18"/>
        <v>15701.474744759675</v>
      </c>
      <c r="H191" s="3">
        <f t="shared" si="21"/>
        <v>8.9949026005342603E-10</v>
      </c>
      <c r="I191" s="3">
        <f t="shared" si="22"/>
        <v>439999.99999999895</v>
      </c>
    </row>
    <row r="192" spans="1:9" x14ac:dyDescent="0.25">
      <c r="A192" t="str">
        <f t="shared" si="19"/>
        <v/>
      </c>
      <c r="D192" s="3">
        <f>H191*Sheet1!$C$5/12</f>
        <v>6.3713893420451022E-12</v>
      </c>
      <c r="E192" s="3">
        <f>IF(H191&lt;0.01,0,Sheet1!$C$6-D192)</f>
        <v>0</v>
      </c>
      <c r="F192" s="3">
        <f t="shared" si="20"/>
        <v>557078.78395859152</v>
      </c>
      <c r="G192">
        <f t="shared" si="18"/>
        <v>15701.474744759675</v>
      </c>
      <c r="H192" s="3">
        <f t="shared" si="21"/>
        <v>8.9949026005342603E-10</v>
      </c>
      <c r="I192" s="3">
        <f t="shared" si="22"/>
        <v>439999.99999999895</v>
      </c>
    </row>
    <row r="193" spans="1:9" x14ac:dyDescent="0.25">
      <c r="A193" t="str">
        <f t="shared" si="19"/>
        <v/>
      </c>
      <c r="D193" s="3">
        <f>H192*Sheet1!$C$5/12</f>
        <v>6.3713893420451022E-12</v>
      </c>
      <c r="E193" s="3">
        <f>IF(H192&lt;0.01,0,Sheet1!$C$6-D193)</f>
        <v>0</v>
      </c>
      <c r="F193" s="3">
        <f t="shared" si="20"/>
        <v>557078.78395859152</v>
      </c>
      <c r="G193">
        <f t="shared" si="18"/>
        <v>15701.474744759675</v>
      </c>
      <c r="H193" s="3">
        <f t="shared" si="21"/>
        <v>8.9949026005342603E-10</v>
      </c>
      <c r="I193" s="3">
        <f t="shared" si="22"/>
        <v>439999.99999999895</v>
      </c>
    </row>
    <row r="194" spans="1:9" x14ac:dyDescent="0.25">
      <c r="A194" t="str">
        <f t="shared" si="19"/>
        <v/>
      </c>
      <c r="D194" s="3">
        <f>H193*Sheet1!$C$5/12</f>
        <v>6.3713893420451022E-12</v>
      </c>
      <c r="E194" s="3">
        <f>IF(H193&lt;0.01,0,Sheet1!$C$6-D194)</f>
        <v>0</v>
      </c>
      <c r="F194" s="3">
        <f t="shared" si="20"/>
        <v>557078.78395859152</v>
      </c>
      <c r="G194">
        <f t="shared" si="18"/>
        <v>15701.474744759675</v>
      </c>
      <c r="H194" s="3">
        <f t="shared" si="21"/>
        <v>8.9949026005342603E-10</v>
      </c>
      <c r="I194" s="3">
        <f t="shared" si="22"/>
        <v>439999.99999999895</v>
      </c>
    </row>
    <row r="195" spans="1:9" x14ac:dyDescent="0.25">
      <c r="A195" t="str">
        <f t="shared" si="19"/>
        <v/>
      </c>
      <c r="D195" s="3">
        <f>H194*Sheet1!$C$5/12</f>
        <v>6.3713893420451022E-12</v>
      </c>
      <c r="E195" s="3">
        <f>IF(H194&lt;0.01,0,Sheet1!$C$6-D195)</f>
        <v>0</v>
      </c>
      <c r="F195" s="3">
        <f t="shared" si="20"/>
        <v>557078.78395859152</v>
      </c>
      <c r="G195">
        <f t="shared" ref="G195:G258" si="23">IFERROR(F195/(26.4*(1+3%)^A195),G194)</f>
        <v>15701.474744759675</v>
      </c>
      <c r="H195" s="3">
        <f t="shared" si="21"/>
        <v>8.9949026005342603E-10</v>
      </c>
      <c r="I195" s="3">
        <f t="shared" si="22"/>
        <v>439999.99999999895</v>
      </c>
    </row>
    <row r="196" spans="1:9" x14ac:dyDescent="0.25">
      <c r="A196" t="str">
        <f t="shared" si="19"/>
        <v/>
      </c>
      <c r="D196" s="3">
        <f>H195*Sheet1!$C$5/12</f>
        <v>6.3713893420451022E-12</v>
      </c>
      <c r="E196" s="3">
        <f>IF(H195&lt;0.01,0,Sheet1!$C$6-D196)</f>
        <v>0</v>
      </c>
      <c r="F196" s="3">
        <f t="shared" si="20"/>
        <v>557078.78395859152</v>
      </c>
      <c r="G196">
        <f t="shared" si="23"/>
        <v>15701.474744759675</v>
      </c>
      <c r="H196" s="3">
        <f t="shared" si="21"/>
        <v>8.9949026005342603E-10</v>
      </c>
      <c r="I196" s="3">
        <f t="shared" si="22"/>
        <v>439999.99999999895</v>
      </c>
    </row>
    <row r="197" spans="1:9" x14ac:dyDescent="0.25">
      <c r="A197" t="str">
        <f t="shared" si="19"/>
        <v/>
      </c>
      <c r="D197" s="3">
        <f>H196*Sheet1!$C$5/12</f>
        <v>6.3713893420451022E-12</v>
      </c>
      <c r="E197" s="3">
        <f>IF(H196&lt;0.01,0,Sheet1!$C$6-D197)</f>
        <v>0</v>
      </c>
      <c r="F197" s="3">
        <f t="shared" si="20"/>
        <v>557078.78395859152</v>
      </c>
      <c r="G197">
        <f t="shared" si="23"/>
        <v>15701.474744759675</v>
      </c>
      <c r="H197" s="3">
        <f t="shared" si="21"/>
        <v>8.9949026005342603E-10</v>
      </c>
      <c r="I197" s="3">
        <f t="shared" si="22"/>
        <v>439999.99999999895</v>
      </c>
    </row>
    <row r="198" spans="1:9" x14ac:dyDescent="0.25">
      <c r="A198" t="str">
        <f t="shared" si="19"/>
        <v/>
      </c>
      <c r="D198" s="3">
        <f>H197*Sheet1!$C$5/12</f>
        <v>6.3713893420451022E-12</v>
      </c>
      <c r="E198" s="3">
        <f>IF(H197&lt;0.01,0,Sheet1!$C$6-D198)</f>
        <v>0</v>
      </c>
      <c r="F198" s="3">
        <f t="shared" si="20"/>
        <v>557078.78395859152</v>
      </c>
      <c r="G198">
        <f t="shared" si="23"/>
        <v>15701.474744759675</v>
      </c>
      <c r="H198" s="3">
        <f t="shared" si="21"/>
        <v>8.9949026005342603E-10</v>
      </c>
      <c r="I198" s="3">
        <f t="shared" si="22"/>
        <v>439999.99999999895</v>
      </c>
    </row>
    <row r="199" spans="1:9" x14ac:dyDescent="0.25">
      <c r="A199" t="str">
        <f t="shared" si="19"/>
        <v/>
      </c>
      <c r="D199" s="3">
        <f>H198*Sheet1!$C$5/12</f>
        <v>6.3713893420451022E-12</v>
      </c>
      <c r="E199" s="3">
        <f>IF(H198&lt;0.01,0,Sheet1!$C$6-D199)</f>
        <v>0</v>
      </c>
      <c r="F199" s="3">
        <f t="shared" si="20"/>
        <v>557078.78395859152</v>
      </c>
      <c r="G199">
        <f t="shared" si="23"/>
        <v>15701.474744759675</v>
      </c>
      <c r="H199" s="3">
        <f t="shared" si="21"/>
        <v>8.9949026005342603E-10</v>
      </c>
      <c r="I199" s="3">
        <f t="shared" si="22"/>
        <v>439999.99999999895</v>
      </c>
    </row>
    <row r="200" spans="1:9" x14ac:dyDescent="0.25">
      <c r="A200" t="str">
        <f t="shared" si="19"/>
        <v/>
      </c>
      <c r="D200" s="3">
        <f>H199*Sheet1!$C$5/12</f>
        <v>6.3713893420451022E-12</v>
      </c>
      <c r="E200" s="3">
        <f>IF(H199&lt;0.01,0,Sheet1!$C$6-D200)</f>
        <v>0</v>
      </c>
      <c r="F200" s="3">
        <f t="shared" si="20"/>
        <v>557078.78395859152</v>
      </c>
      <c r="G200">
        <f t="shared" si="23"/>
        <v>15701.474744759675</v>
      </c>
      <c r="H200" s="3">
        <f t="shared" si="21"/>
        <v>8.9949026005342603E-10</v>
      </c>
      <c r="I200" s="3">
        <f t="shared" si="22"/>
        <v>439999.99999999895</v>
      </c>
    </row>
    <row r="201" spans="1:9" x14ac:dyDescent="0.25">
      <c r="A201" t="str">
        <f t="shared" si="19"/>
        <v/>
      </c>
      <c r="D201" s="3">
        <f>H200*Sheet1!$C$5/12</f>
        <v>6.3713893420451022E-12</v>
      </c>
      <c r="E201" s="3">
        <f>IF(H200&lt;0.01,0,Sheet1!$C$6-D201)</f>
        <v>0</v>
      </c>
      <c r="F201" s="3">
        <f t="shared" si="20"/>
        <v>557078.78395859152</v>
      </c>
      <c r="G201">
        <f t="shared" si="23"/>
        <v>15701.474744759675</v>
      </c>
      <c r="H201" s="3">
        <f t="shared" si="21"/>
        <v>8.9949026005342603E-10</v>
      </c>
      <c r="I201" s="3">
        <f t="shared" si="22"/>
        <v>439999.99999999895</v>
      </c>
    </row>
    <row r="202" spans="1:9" x14ac:dyDescent="0.25">
      <c r="A202" t="str">
        <f t="shared" si="19"/>
        <v/>
      </c>
      <c r="D202" s="3">
        <f>H201*Sheet1!$C$5/12</f>
        <v>6.3713893420451022E-12</v>
      </c>
      <c r="E202" s="3">
        <f>IF(H201&lt;0.01,0,Sheet1!$C$6-D202)</f>
        <v>0</v>
      </c>
      <c r="F202" s="3">
        <f t="shared" si="20"/>
        <v>557078.78395859152</v>
      </c>
      <c r="G202">
        <f t="shared" si="23"/>
        <v>15701.474744759675</v>
      </c>
      <c r="H202" s="3">
        <f t="shared" si="21"/>
        <v>8.9949026005342603E-10</v>
      </c>
      <c r="I202" s="3">
        <f t="shared" si="22"/>
        <v>439999.99999999895</v>
      </c>
    </row>
    <row r="203" spans="1:9" x14ac:dyDescent="0.25">
      <c r="A203" t="str">
        <f t="shared" si="19"/>
        <v/>
      </c>
      <c r="D203" s="3">
        <f>H202*Sheet1!$C$5/12</f>
        <v>6.3713893420451022E-12</v>
      </c>
      <c r="E203" s="3">
        <f>IF(H202&lt;0.01,0,Sheet1!$C$6-D203)</f>
        <v>0</v>
      </c>
      <c r="F203" s="3">
        <f t="shared" si="20"/>
        <v>557078.78395859152</v>
      </c>
      <c r="G203">
        <f t="shared" si="23"/>
        <v>15701.474744759675</v>
      </c>
      <c r="H203" s="3">
        <f t="shared" si="21"/>
        <v>8.9949026005342603E-10</v>
      </c>
      <c r="I203" s="3">
        <f t="shared" si="22"/>
        <v>439999.99999999895</v>
      </c>
    </row>
    <row r="204" spans="1:9" x14ac:dyDescent="0.25">
      <c r="A204" t="str">
        <f t="shared" si="19"/>
        <v/>
      </c>
      <c r="D204" s="3">
        <f>H203*Sheet1!$C$5/12</f>
        <v>6.3713893420451022E-12</v>
      </c>
      <c r="E204" s="3">
        <f>IF(H203&lt;0.01,0,Sheet1!$C$6-D204)</f>
        <v>0</v>
      </c>
      <c r="F204" s="3">
        <f t="shared" si="20"/>
        <v>557078.78395859152</v>
      </c>
      <c r="G204">
        <f t="shared" si="23"/>
        <v>15701.474744759675</v>
      </c>
      <c r="H204" s="3">
        <f t="shared" si="21"/>
        <v>8.9949026005342603E-10</v>
      </c>
      <c r="I204" s="3">
        <f t="shared" si="22"/>
        <v>439999.99999999895</v>
      </c>
    </row>
    <row r="205" spans="1:9" x14ac:dyDescent="0.25">
      <c r="A205" t="str">
        <f t="shared" si="19"/>
        <v/>
      </c>
      <c r="D205" s="3">
        <f>H204*Sheet1!$C$5/12</f>
        <v>6.3713893420451022E-12</v>
      </c>
      <c r="E205" s="3">
        <f>IF(H204&lt;0.01,0,Sheet1!$C$6-D205)</f>
        <v>0</v>
      </c>
      <c r="F205" s="3">
        <f t="shared" si="20"/>
        <v>557078.78395859152</v>
      </c>
      <c r="G205">
        <f t="shared" si="23"/>
        <v>15701.474744759675</v>
      </c>
      <c r="H205" s="3">
        <f t="shared" si="21"/>
        <v>8.9949026005342603E-10</v>
      </c>
      <c r="I205" s="3">
        <f t="shared" si="22"/>
        <v>439999.99999999895</v>
      </c>
    </row>
    <row r="206" spans="1:9" x14ac:dyDescent="0.25">
      <c r="A206" t="str">
        <f t="shared" si="19"/>
        <v/>
      </c>
      <c r="D206" s="3">
        <f>H205*Sheet1!$C$5/12</f>
        <v>6.3713893420451022E-12</v>
      </c>
      <c r="E206" s="3">
        <f>IF(H205&lt;0.01,0,Sheet1!$C$6-D206)</f>
        <v>0</v>
      </c>
      <c r="F206" s="3">
        <f t="shared" si="20"/>
        <v>557078.78395859152</v>
      </c>
      <c r="G206">
        <f t="shared" si="23"/>
        <v>15701.474744759675</v>
      </c>
      <c r="H206" s="3">
        <f t="shared" si="21"/>
        <v>8.9949026005342603E-10</v>
      </c>
      <c r="I206" s="3">
        <f t="shared" si="22"/>
        <v>439999.99999999895</v>
      </c>
    </row>
    <row r="207" spans="1:9" x14ac:dyDescent="0.25">
      <c r="A207" t="str">
        <f t="shared" si="19"/>
        <v/>
      </c>
      <c r="D207" s="3">
        <f>H206*Sheet1!$C$5/12</f>
        <v>6.3713893420451022E-12</v>
      </c>
      <c r="E207" s="3">
        <f>IF(H206&lt;0.01,0,Sheet1!$C$6-D207)</f>
        <v>0</v>
      </c>
      <c r="F207" s="3">
        <f t="shared" si="20"/>
        <v>557078.78395859152</v>
      </c>
      <c r="G207">
        <f t="shared" si="23"/>
        <v>15701.474744759675</v>
      </c>
      <c r="H207" s="3">
        <f t="shared" si="21"/>
        <v>8.9949026005342603E-10</v>
      </c>
      <c r="I207" s="3">
        <f t="shared" si="22"/>
        <v>439999.99999999895</v>
      </c>
    </row>
    <row r="208" spans="1:9" x14ac:dyDescent="0.25">
      <c r="A208" t="str">
        <f t="shared" si="19"/>
        <v/>
      </c>
      <c r="D208" s="3">
        <f>H207*Sheet1!$C$5/12</f>
        <v>6.3713893420451022E-12</v>
      </c>
      <c r="E208" s="3">
        <f>IF(H207&lt;0.01,0,Sheet1!$C$6-D208)</f>
        <v>0</v>
      </c>
      <c r="F208" s="3">
        <f t="shared" si="20"/>
        <v>557078.78395859152</v>
      </c>
      <c r="G208">
        <f t="shared" si="23"/>
        <v>15701.474744759675</v>
      </c>
      <c r="H208" s="3">
        <f t="shared" si="21"/>
        <v>8.9949026005342603E-10</v>
      </c>
      <c r="I208" s="3">
        <f t="shared" si="22"/>
        <v>439999.99999999895</v>
      </c>
    </row>
    <row r="209" spans="1:9" x14ac:dyDescent="0.25">
      <c r="A209" t="str">
        <f t="shared" ref="A209:A272" si="24">IF(ISBLANK(B209),"",CEILING(B209/12,1))</f>
        <v/>
      </c>
      <c r="D209" s="3">
        <f>H208*Sheet1!$C$5/12</f>
        <v>6.3713893420451022E-12</v>
      </c>
      <c r="E209" s="3">
        <f>IF(H208&lt;0.01,0,Sheet1!$C$6-D209)</f>
        <v>0</v>
      </c>
      <c r="F209" s="3">
        <f t="shared" ref="F209:F242" si="25">F208+D209+E209</f>
        <v>557078.78395859152</v>
      </c>
      <c r="G209">
        <f t="shared" si="23"/>
        <v>15701.474744759675</v>
      </c>
      <c r="H209" s="3">
        <f t="shared" ref="H209:H242" si="26">H208-E209</f>
        <v>8.9949026005342603E-10</v>
      </c>
      <c r="I209" s="3">
        <f t="shared" ref="I209:I242" si="27">E209+I208</f>
        <v>439999.99999999895</v>
      </c>
    </row>
    <row r="210" spans="1:9" x14ac:dyDescent="0.25">
      <c r="A210" t="str">
        <f t="shared" si="24"/>
        <v/>
      </c>
      <c r="D210" s="3">
        <f>H209*Sheet1!$C$5/12</f>
        <v>6.3713893420451022E-12</v>
      </c>
      <c r="E210" s="3">
        <f>IF(H209&lt;0.01,0,Sheet1!$C$6-D210)</f>
        <v>0</v>
      </c>
      <c r="F210" s="3">
        <f t="shared" si="25"/>
        <v>557078.78395859152</v>
      </c>
      <c r="G210">
        <f t="shared" si="23"/>
        <v>15701.474744759675</v>
      </c>
      <c r="H210" s="3">
        <f t="shared" si="26"/>
        <v>8.9949026005342603E-10</v>
      </c>
      <c r="I210" s="3">
        <f t="shared" si="27"/>
        <v>439999.99999999895</v>
      </c>
    </row>
    <row r="211" spans="1:9" x14ac:dyDescent="0.25">
      <c r="A211" t="str">
        <f t="shared" si="24"/>
        <v/>
      </c>
      <c r="D211" s="3">
        <f>H210*Sheet1!$C$5/12</f>
        <v>6.3713893420451022E-12</v>
      </c>
      <c r="E211" s="3">
        <f>IF(H210&lt;0.01,0,Sheet1!$C$6-D211)</f>
        <v>0</v>
      </c>
      <c r="F211" s="3">
        <f t="shared" si="25"/>
        <v>557078.78395859152</v>
      </c>
      <c r="G211">
        <f t="shared" si="23"/>
        <v>15701.474744759675</v>
      </c>
      <c r="H211" s="3">
        <f t="shared" si="26"/>
        <v>8.9949026005342603E-10</v>
      </c>
      <c r="I211" s="3">
        <f t="shared" si="27"/>
        <v>439999.99999999895</v>
      </c>
    </row>
    <row r="212" spans="1:9" x14ac:dyDescent="0.25">
      <c r="A212" t="str">
        <f t="shared" si="24"/>
        <v/>
      </c>
      <c r="D212" s="3">
        <f>H211*Sheet1!$C$5/12</f>
        <v>6.3713893420451022E-12</v>
      </c>
      <c r="E212" s="3">
        <f>IF(H211&lt;0.01,0,Sheet1!$C$6-D212)</f>
        <v>0</v>
      </c>
      <c r="F212" s="3">
        <f t="shared" si="25"/>
        <v>557078.78395859152</v>
      </c>
      <c r="G212">
        <f t="shared" si="23"/>
        <v>15701.474744759675</v>
      </c>
      <c r="H212" s="3">
        <f t="shared" si="26"/>
        <v>8.9949026005342603E-10</v>
      </c>
      <c r="I212" s="3">
        <f t="shared" si="27"/>
        <v>439999.99999999895</v>
      </c>
    </row>
    <row r="213" spans="1:9" x14ac:dyDescent="0.25">
      <c r="A213" t="str">
        <f t="shared" si="24"/>
        <v/>
      </c>
      <c r="D213" s="3">
        <f>H212*Sheet1!$C$5/12</f>
        <v>6.3713893420451022E-12</v>
      </c>
      <c r="E213" s="3">
        <f>IF(H212&lt;0.01,0,Sheet1!$C$6-D213)</f>
        <v>0</v>
      </c>
      <c r="F213" s="3">
        <f t="shared" si="25"/>
        <v>557078.78395859152</v>
      </c>
      <c r="G213">
        <f t="shared" si="23"/>
        <v>15701.474744759675</v>
      </c>
      <c r="H213" s="3">
        <f t="shared" si="26"/>
        <v>8.9949026005342603E-10</v>
      </c>
      <c r="I213" s="3">
        <f t="shared" si="27"/>
        <v>439999.99999999895</v>
      </c>
    </row>
    <row r="214" spans="1:9" x14ac:dyDescent="0.25">
      <c r="A214" t="str">
        <f t="shared" si="24"/>
        <v/>
      </c>
      <c r="D214" s="3">
        <f>H213*Sheet1!$C$5/12</f>
        <v>6.3713893420451022E-12</v>
      </c>
      <c r="E214" s="3">
        <f>IF(H213&lt;0.01,0,Sheet1!$C$6-D214)</f>
        <v>0</v>
      </c>
      <c r="F214" s="3">
        <f t="shared" si="25"/>
        <v>557078.78395859152</v>
      </c>
      <c r="G214">
        <f t="shared" si="23"/>
        <v>15701.474744759675</v>
      </c>
      <c r="H214" s="3">
        <f t="shared" si="26"/>
        <v>8.9949026005342603E-10</v>
      </c>
      <c r="I214" s="3">
        <f t="shared" si="27"/>
        <v>439999.99999999895</v>
      </c>
    </row>
    <row r="215" spans="1:9" x14ac:dyDescent="0.25">
      <c r="A215" t="str">
        <f t="shared" si="24"/>
        <v/>
      </c>
      <c r="D215" s="3">
        <f>H214*Sheet1!$C$5/12</f>
        <v>6.3713893420451022E-12</v>
      </c>
      <c r="E215" s="3">
        <f>IF(H214&lt;0.01,0,Sheet1!$C$6-D215)</f>
        <v>0</v>
      </c>
      <c r="F215" s="3">
        <f t="shared" si="25"/>
        <v>557078.78395859152</v>
      </c>
      <c r="G215">
        <f t="shared" si="23"/>
        <v>15701.474744759675</v>
      </c>
      <c r="H215" s="3">
        <f t="shared" si="26"/>
        <v>8.9949026005342603E-10</v>
      </c>
      <c r="I215" s="3">
        <f t="shared" si="27"/>
        <v>439999.99999999895</v>
      </c>
    </row>
    <row r="216" spans="1:9" x14ac:dyDescent="0.25">
      <c r="A216" t="str">
        <f t="shared" si="24"/>
        <v/>
      </c>
      <c r="D216" s="3">
        <f>H215*Sheet1!$C$5/12</f>
        <v>6.3713893420451022E-12</v>
      </c>
      <c r="E216" s="3">
        <f>IF(H215&lt;0.01,0,Sheet1!$C$6-D216)</f>
        <v>0</v>
      </c>
      <c r="F216" s="3">
        <f t="shared" si="25"/>
        <v>557078.78395859152</v>
      </c>
      <c r="G216">
        <f t="shared" si="23"/>
        <v>15701.474744759675</v>
      </c>
      <c r="H216" s="3">
        <f t="shared" si="26"/>
        <v>8.9949026005342603E-10</v>
      </c>
      <c r="I216" s="3">
        <f t="shared" si="27"/>
        <v>439999.99999999895</v>
      </c>
    </row>
    <row r="217" spans="1:9" x14ac:dyDescent="0.25">
      <c r="A217" t="str">
        <f t="shared" si="24"/>
        <v/>
      </c>
      <c r="D217" s="3">
        <f>H216*Sheet1!$C$5/12</f>
        <v>6.3713893420451022E-12</v>
      </c>
      <c r="E217" s="3">
        <f>IF(H216&lt;0.01,0,Sheet1!$C$6-D217)</f>
        <v>0</v>
      </c>
      <c r="F217" s="3">
        <f t="shared" si="25"/>
        <v>557078.78395859152</v>
      </c>
      <c r="G217">
        <f t="shared" si="23"/>
        <v>15701.474744759675</v>
      </c>
      <c r="H217" s="3">
        <f t="shared" si="26"/>
        <v>8.9949026005342603E-10</v>
      </c>
      <c r="I217" s="3">
        <f t="shared" si="27"/>
        <v>439999.99999999895</v>
      </c>
    </row>
    <row r="218" spans="1:9" x14ac:dyDescent="0.25">
      <c r="A218" t="str">
        <f t="shared" si="24"/>
        <v/>
      </c>
      <c r="D218" s="3">
        <f>H217*Sheet1!$C$5/12</f>
        <v>6.3713893420451022E-12</v>
      </c>
      <c r="E218" s="3">
        <f>IF(H217&lt;0.01,0,Sheet1!$C$6-D218)</f>
        <v>0</v>
      </c>
      <c r="F218" s="3">
        <f t="shared" si="25"/>
        <v>557078.78395859152</v>
      </c>
      <c r="G218">
        <f t="shared" si="23"/>
        <v>15701.474744759675</v>
      </c>
      <c r="H218" s="3">
        <f t="shared" si="26"/>
        <v>8.9949026005342603E-10</v>
      </c>
      <c r="I218" s="3">
        <f t="shared" si="27"/>
        <v>439999.99999999895</v>
      </c>
    </row>
    <row r="219" spans="1:9" x14ac:dyDescent="0.25">
      <c r="A219" t="str">
        <f t="shared" si="24"/>
        <v/>
      </c>
      <c r="D219" s="3">
        <f>H218*Sheet1!$C$5/12</f>
        <v>6.3713893420451022E-12</v>
      </c>
      <c r="E219" s="3">
        <f>IF(H218&lt;0.01,0,Sheet1!$C$6-D219)</f>
        <v>0</v>
      </c>
      <c r="F219" s="3">
        <f t="shared" si="25"/>
        <v>557078.78395859152</v>
      </c>
      <c r="G219">
        <f t="shared" si="23"/>
        <v>15701.474744759675</v>
      </c>
      <c r="H219" s="3">
        <f t="shared" si="26"/>
        <v>8.9949026005342603E-10</v>
      </c>
      <c r="I219" s="3">
        <f t="shared" si="27"/>
        <v>439999.99999999895</v>
      </c>
    </row>
    <row r="220" spans="1:9" x14ac:dyDescent="0.25">
      <c r="A220" t="str">
        <f t="shared" si="24"/>
        <v/>
      </c>
      <c r="D220" s="3">
        <f>H219*Sheet1!$C$5/12</f>
        <v>6.3713893420451022E-12</v>
      </c>
      <c r="E220" s="3">
        <f>IF(H219&lt;0.01,0,Sheet1!$C$6-D220)</f>
        <v>0</v>
      </c>
      <c r="F220" s="3">
        <f t="shared" si="25"/>
        <v>557078.78395859152</v>
      </c>
      <c r="G220">
        <f t="shared" si="23"/>
        <v>15701.474744759675</v>
      </c>
      <c r="H220" s="3">
        <f t="shared" si="26"/>
        <v>8.9949026005342603E-10</v>
      </c>
      <c r="I220" s="3">
        <f t="shared" si="27"/>
        <v>439999.99999999895</v>
      </c>
    </row>
    <row r="221" spans="1:9" x14ac:dyDescent="0.25">
      <c r="A221" t="str">
        <f t="shared" si="24"/>
        <v/>
      </c>
      <c r="D221" s="3">
        <f>H220*Sheet1!$C$5/12</f>
        <v>6.3713893420451022E-12</v>
      </c>
      <c r="E221" s="3">
        <f>IF(H220&lt;0.01,0,Sheet1!$C$6-D221)</f>
        <v>0</v>
      </c>
      <c r="F221" s="3">
        <f t="shared" si="25"/>
        <v>557078.78395859152</v>
      </c>
      <c r="G221">
        <f t="shared" si="23"/>
        <v>15701.474744759675</v>
      </c>
      <c r="H221" s="3">
        <f t="shared" si="26"/>
        <v>8.9949026005342603E-10</v>
      </c>
      <c r="I221" s="3">
        <f t="shared" si="27"/>
        <v>439999.99999999895</v>
      </c>
    </row>
    <row r="222" spans="1:9" x14ac:dyDescent="0.25">
      <c r="A222" t="str">
        <f t="shared" si="24"/>
        <v/>
      </c>
      <c r="D222" s="3">
        <f>H221*Sheet1!$C$5/12</f>
        <v>6.3713893420451022E-12</v>
      </c>
      <c r="E222" s="3">
        <f>IF(H221&lt;0.01,0,Sheet1!$C$6-D222)</f>
        <v>0</v>
      </c>
      <c r="F222" s="3">
        <f t="shared" si="25"/>
        <v>557078.78395859152</v>
      </c>
      <c r="G222">
        <f t="shared" si="23"/>
        <v>15701.474744759675</v>
      </c>
      <c r="H222" s="3">
        <f t="shared" si="26"/>
        <v>8.9949026005342603E-10</v>
      </c>
      <c r="I222" s="3">
        <f t="shared" si="27"/>
        <v>439999.99999999895</v>
      </c>
    </row>
    <row r="223" spans="1:9" x14ac:dyDescent="0.25">
      <c r="A223" t="str">
        <f t="shared" si="24"/>
        <v/>
      </c>
      <c r="D223" s="3">
        <f>H222*Sheet1!$C$5/12</f>
        <v>6.3713893420451022E-12</v>
      </c>
      <c r="E223" s="3">
        <f>IF(H222&lt;0.01,0,Sheet1!$C$6-D223)</f>
        <v>0</v>
      </c>
      <c r="F223" s="3">
        <f t="shared" si="25"/>
        <v>557078.78395859152</v>
      </c>
      <c r="G223">
        <f t="shared" si="23"/>
        <v>15701.474744759675</v>
      </c>
      <c r="H223" s="3">
        <f t="shared" si="26"/>
        <v>8.9949026005342603E-10</v>
      </c>
      <c r="I223" s="3">
        <f t="shared" si="27"/>
        <v>439999.99999999895</v>
      </c>
    </row>
    <row r="224" spans="1:9" x14ac:dyDescent="0.25">
      <c r="A224" t="str">
        <f t="shared" si="24"/>
        <v/>
      </c>
      <c r="D224" s="3">
        <f>H223*Sheet1!$C$5/12</f>
        <v>6.3713893420451022E-12</v>
      </c>
      <c r="E224" s="3">
        <f>IF(H223&lt;0.01,0,Sheet1!$C$6-D224)</f>
        <v>0</v>
      </c>
      <c r="F224" s="3">
        <f t="shared" si="25"/>
        <v>557078.78395859152</v>
      </c>
      <c r="G224">
        <f t="shared" si="23"/>
        <v>15701.474744759675</v>
      </c>
      <c r="H224" s="3">
        <f t="shared" si="26"/>
        <v>8.9949026005342603E-10</v>
      </c>
      <c r="I224" s="3">
        <f t="shared" si="27"/>
        <v>439999.99999999895</v>
      </c>
    </row>
    <row r="225" spans="1:9" x14ac:dyDescent="0.25">
      <c r="A225" t="str">
        <f t="shared" si="24"/>
        <v/>
      </c>
      <c r="D225" s="3">
        <f>H224*Sheet1!$C$5/12</f>
        <v>6.3713893420451022E-12</v>
      </c>
      <c r="E225" s="3">
        <f>IF(H224&lt;0.01,0,Sheet1!$C$6-D225)</f>
        <v>0</v>
      </c>
      <c r="F225" s="3">
        <f t="shared" si="25"/>
        <v>557078.78395859152</v>
      </c>
      <c r="G225">
        <f t="shared" si="23"/>
        <v>15701.474744759675</v>
      </c>
      <c r="H225" s="3">
        <f t="shared" si="26"/>
        <v>8.9949026005342603E-10</v>
      </c>
      <c r="I225" s="3">
        <f t="shared" si="27"/>
        <v>439999.99999999895</v>
      </c>
    </row>
    <row r="226" spans="1:9" x14ac:dyDescent="0.25">
      <c r="A226" t="str">
        <f t="shared" si="24"/>
        <v/>
      </c>
      <c r="D226" s="3">
        <f>H225*Sheet1!$C$5/12</f>
        <v>6.3713893420451022E-12</v>
      </c>
      <c r="E226" s="3">
        <f>IF(H225&lt;0.01,0,Sheet1!$C$6-D226)</f>
        <v>0</v>
      </c>
      <c r="F226" s="3">
        <f t="shared" si="25"/>
        <v>557078.78395859152</v>
      </c>
      <c r="G226">
        <f t="shared" si="23"/>
        <v>15701.474744759675</v>
      </c>
      <c r="H226" s="3">
        <f t="shared" si="26"/>
        <v>8.9949026005342603E-10</v>
      </c>
      <c r="I226" s="3">
        <f t="shared" si="27"/>
        <v>439999.99999999895</v>
      </c>
    </row>
    <row r="227" spans="1:9" x14ac:dyDescent="0.25">
      <c r="A227" t="str">
        <f t="shared" si="24"/>
        <v/>
      </c>
      <c r="D227" s="3">
        <f>H226*Sheet1!$C$5/12</f>
        <v>6.3713893420451022E-12</v>
      </c>
      <c r="E227" s="3">
        <f>IF(H226&lt;0.01,0,Sheet1!$C$6-D227)</f>
        <v>0</v>
      </c>
      <c r="F227" s="3">
        <f t="shared" si="25"/>
        <v>557078.78395859152</v>
      </c>
      <c r="G227">
        <f t="shared" si="23"/>
        <v>15701.474744759675</v>
      </c>
      <c r="H227" s="3">
        <f t="shared" si="26"/>
        <v>8.9949026005342603E-10</v>
      </c>
      <c r="I227" s="3">
        <f t="shared" si="27"/>
        <v>439999.99999999895</v>
      </c>
    </row>
    <row r="228" spans="1:9" x14ac:dyDescent="0.25">
      <c r="A228" t="str">
        <f t="shared" si="24"/>
        <v/>
      </c>
      <c r="D228" s="3">
        <f>H227*Sheet1!$C$5/12</f>
        <v>6.3713893420451022E-12</v>
      </c>
      <c r="E228" s="3">
        <f>IF(H227&lt;0.01,0,Sheet1!$C$6-D228)</f>
        <v>0</v>
      </c>
      <c r="F228" s="3">
        <f t="shared" si="25"/>
        <v>557078.78395859152</v>
      </c>
      <c r="G228">
        <f t="shared" si="23"/>
        <v>15701.474744759675</v>
      </c>
      <c r="H228" s="3">
        <f t="shared" si="26"/>
        <v>8.9949026005342603E-10</v>
      </c>
      <c r="I228" s="3">
        <f t="shared" si="27"/>
        <v>439999.99999999895</v>
      </c>
    </row>
    <row r="229" spans="1:9" x14ac:dyDescent="0.25">
      <c r="A229" t="str">
        <f t="shared" si="24"/>
        <v/>
      </c>
      <c r="D229" s="3">
        <f>H228*Sheet1!$C$5/12</f>
        <v>6.3713893420451022E-12</v>
      </c>
      <c r="E229" s="3">
        <f>IF(H228&lt;0.01,0,Sheet1!$C$6-D229)</f>
        <v>0</v>
      </c>
      <c r="F229" s="3">
        <f t="shared" si="25"/>
        <v>557078.78395859152</v>
      </c>
      <c r="G229">
        <f t="shared" si="23"/>
        <v>15701.474744759675</v>
      </c>
      <c r="H229" s="3">
        <f t="shared" si="26"/>
        <v>8.9949026005342603E-10</v>
      </c>
      <c r="I229" s="3">
        <f t="shared" si="27"/>
        <v>439999.99999999895</v>
      </c>
    </row>
    <row r="230" spans="1:9" x14ac:dyDescent="0.25">
      <c r="A230" t="str">
        <f t="shared" si="24"/>
        <v/>
      </c>
      <c r="D230" s="3">
        <f>H229*Sheet1!$C$5/12</f>
        <v>6.3713893420451022E-12</v>
      </c>
      <c r="E230" s="3">
        <f>IF(H229&lt;0.01,0,Sheet1!$C$6-D230)</f>
        <v>0</v>
      </c>
      <c r="F230" s="3">
        <f t="shared" si="25"/>
        <v>557078.78395859152</v>
      </c>
      <c r="G230">
        <f t="shared" si="23"/>
        <v>15701.474744759675</v>
      </c>
      <c r="H230" s="3">
        <f t="shared" si="26"/>
        <v>8.9949026005342603E-10</v>
      </c>
      <c r="I230" s="3">
        <f t="shared" si="27"/>
        <v>439999.99999999895</v>
      </c>
    </row>
    <row r="231" spans="1:9" x14ac:dyDescent="0.25">
      <c r="A231" t="str">
        <f t="shared" si="24"/>
        <v/>
      </c>
      <c r="D231" s="3">
        <f>H230*Sheet1!$C$5/12</f>
        <v>6.3713893420451022E-12</v>
      </c>
      <c r="E231" s="3">
        <f>IF(H230&lt;0.01,0,Sheet1!$C$6-D231)</f>
        <v>0</v>
      </c>
      <c r="F231" s="3">
        <f t="shared" si="25"/>
        <v>557078.78395859152</v>
      </c>
      <c r="G231">
        <f t="shared" si="23"/>
        <v>15701.474744759675</v>
      </c>
      <c r="H231" s="3">
        <f t="shared" si="26"/>
        <v>8.9949026005342603E-10</v>
      </c>
      <c r="I231" s="3">
        <f t="shared" si="27"/>
        <v>439999.99999999895</v>
      </c>
    </row>
    <row r="232" spans="1:9" x14ac:dyDescent="0.25">
      <c r="A232" t="str">
        <f t="shared" si="24"/>
        <v/>
      </c>
      <c r="D232" s="3">
        <f>H231*Sheet1!$C$5/12</f>
        <v>6.3713893420451022E-12</v>
      </c>
      <c r="E232" s="3">
        <f>IF(H231&lt;0.01,0,Sheet1!$C$6-D232)</f>
        <v>0</v>
      </c>
      <c r="F232" s="3">
        <f t="shared" si="25"/>
        <v>557078.78395859152</v>
      </c>
      <c r="G232">
        <f t="shared" si="23"/>
        <v>15701.474744759675</v>
      </c>
      <c r="H232" s="3">
        <f t="shared" si="26"/>
        <v>8.9949026005342603E-10</v>
      </c>
      <c r="I232" s="3">
        <f t="shared" si="27"/>
        <v>439999.99999999895</v>
      </c>
    </row>
    <row r="233" spans="1:9" x14ac:dyDescent="0.25">
      <c r="A233" t="str">
        <f t="shared" si="24"/>
        <v/>
      </c>
      <c r="D233" s="3">
        <f>H232*Sheet1!$C$5/12</f>
        <v>6.3713893420451022E-12</v>
      </c>
      <c r="E233" s="3">
        <f>IF(H232&lt;0.01,0,Sheet1!$C$6-D233)</f>
        <v>0</v>
      </c>
      <c r="F233" s="3">
        <f t="shared" si="25"/>
        <v>557078.78395859152</v>
      </c>
      <c r="G233">
        <f t="shared" si="23"/>
        <v>15701.474744759675</v>
      </c>
      <c r="H233" s="3">
        <f t="shared" si="26"/>
        <v>8.9949026005342603E-10</v>
      </c>
      <c r="I233" s="3">
        <f t="shared" si="27"/>
        <v>439999.99999999895</v>
      </c>
    </row>
    <row r="234" spans="1:9" x14ac:dyDescent="0.25">
      <c r="A234" t="str">
        <f t="shared" si="24"/>
        <v/>
      </c>
      <c r="D234" s="3">
        <f>H233*Sheet1!$C$5/12</f>
        <v>6.3713893420451022E-12</v>
      </c>
      <c r="E234" s="3">
        <f>IF(H233&lt;0.01,0,Sheet1!$C$6-D234)</f>
        <v>0</v>
      </c>
      <c r="F234" s="3">
        <f t="shared" si="25"/>
        <v>557078.78395859152</v>
      </c>
      <c r="G234">
        <f t="shared" si="23"/>
        <v>15701.474744759675</v>
      </c>
      <c r="H234" s="3">
        <f t="shared" si="26"/>
        <v>8.9949026005342603E-10</v>
      </c>
      <c r="I234" s="3">
        <f t="shared" si="27"/>
        <v>439999.99999999895</v>
      </c>
    </row>
    <row r="235" spans="1:9" x14ac:dyDescent="0.25">
      <c r="A235" t="str">
        <f t="shared" si="24"/>
        <v/>
      </c>
      <c r="D235" s="3">
        <f>H234*Sheet1!$C$5/12</f>
        <v>6.3713893420451022E-12</v>
      </c>
      <c r="E235" s="3">
        <f>IF(H234&lt;0.01,0,Sheet1!$C$6-D235)</f>
        <v>0</v>
      </c>
      <c r="F235" s="3">
        <f t="shared" si="25"/>
        <v>557078.78395859152</v>
      </c>
      <c r="G235">
        <f t="shared" si="23"/>
        <v>15701.474744759675</v>
      </c>
      <c r="H235" s="3">
        <f t="shared" si="26"/>
        <v>8.9949026005342603E-10</v>
      </c>
      <c r="I235" s="3">
        <f t="shared" si="27"/>
        <v>439999.99999999895</v>
      </c>
    </row>
    <row r="236" spans="1:9" x14ac:dyDescent="0.25">
      <c r="A236" t="str">
        <f t="shared" si="24"/>
        <v/>
      </c>
      <c r="D236" s="3">
        <f>H235*Sheet1!$C$5/12</f>
        <v>6.3713893420451022E-12</v>
      </c>
      <c r="E236" s="3">
        <f>IF(H235&lt;0.01,0,Sheet1!$C$6-D236)</f>
        <v>0</v>
      </c>
      <c r="F236" s="3">
        <f t="shared" si="25"/>
        <v>557078.78395859152</v>
      </c>
      <c r="G236">
        <f t="shared" si="23"/>
        <v>15701.474744759675</v>
      </c>
      <c r="H236" s="3">
        <f t="shared" si="26"/>
        <v>8.9949026005342603E-10</v>
      </c>
      <c r="I236" s="3">
        <f t="shared" si="27"/>
        <v>439999.99999999895</v>
      </c>
    </row>
    <row r="237" spans="1:9" x14ac:dyDescent="0.25">
      <c r="A237" t="str">
        <f t="shared" si="24"/>
        <v/>
      </c>
      <c r="D237" s="3">
        <f>H236*Sheet1!$C$5/12</f>
        <v>6.3713893420451022E-12</v>
      </c>
      <c r="E237" s="3">
        <f>IF(H236&lt;0.01,0,Sheet1!$C$6-D237)</f>
        <v>0</v>
      </c>
      <c r="F237" s="3">
        <f t="shared" si="25"/>
        <v>557078.78395859152</v>
      </c>
      <c r="G237">
        <f t="shared" si="23"/>
        <v>15701.474744759675</v>
      </c>
      <c r="H237" s="3">
        <f t="shared" si="26"/>
        <v>8.9949026005342603E-10</v>
      </c>
      <c r="I237" s="3">
        <f t="shared" si="27"/>
        <v>439999.99999999895</v>
      </c>
    </row>
    <row r="238" spans="1:9" x14ac:dyDescent="0.25">
      <c r="A238" t="str">
        <f t="shared" si="24"/>
        <v/>
      </c>
      <c r="D238" s="3">
        <f>H237*Sheet1!$C$5/12</f>
        <v>6.3713893420451022E-12</v>
      </c>
      <c r="E238" s="3">
        <f>IF(H237&lt;0.01,0,Sheet1!$C$6-D238)</f>
        <v>0</v>
      </c>
      <c r="F238" s="3">
        <f t="shared" si="25"/>
        <v>557078.78395859152</v>
      </c>
      <c r="G238">
        <f t="shared" si="23"/>
        <v>15701.474744759675</v>
      </c>
      <c r="H238" s="3">
        <f t="shared" si="26"/>
        <v>8.9949026005342603E-10</v>
      </c>
      <c r="I238" s="3">
        <f t="shared" si="27"/>
        <v>439999.99999999895</v>
      </c>
    </row>
    <row r="239" spans="1:9" x14ac:dyDescent="0.25">
      <c r="A239" t="str">
        <f t="shared" si="24"/>
        <v/>
      </c>
      <c r="D239" s="3">
        <f>H238*Sheet1!$C$5/12</f>
        <v>6.3713893420451022E-12</v>
      </c>
      <c r="E239" s="3">
        <f>IF(H238&lt;0.01,0,Sheet1!$C$6-D239)</f>
        <v>0</v>
      </c>
      <c r="F239" s="3">
        <f t="shared" si="25"/>
        <v>557078.78395859152</v>
      </c>
      <c r="G239">
        <f t="shared" si="23"/>
        <v>15701.474744759675</v>
      </c>
      <c r="H239" s="3">
        <f t="shared" si="26"/>
        <v>8.9949026005342603E-10</v>
      </c>
      <c r="I239" s="3">
        <f t="shared" si="27"/>
        <v>439999.99999999895</v>
      </c>
    </row>
    <row r="240" spans="1:9" x14ac:dyDescent="0.25">
      <c r="A240" t="str">
        <f t="shared" si="24"/>
        <v/>
      </c>
      <c r="D240" s="3">
        <f>H239*Sheet1!$C$5/12</f>
        <v>6.3713893420451022E-12</v>
      </c>
      <c r="E240" s="3">
        <f>IF(H239&lt;0.01,0,Sheet1!$C$6-D240)</f>
        <v>0</v>
      </c>
      <c r="F240" s="3">
        <f t="shared" si="25"/>
        <v>557078.78395859152</v>
      </c>
      <c r="G240">
        <f t="shared" si="23"/>
        <v>15701.474744759675</v>
      </c>
      <c r="H240" s="3">
        <f t="shared" si="26"/>
        <v>8.9949026005342603E-10</v>
      </c>
      <c r="I240" s="3">
        <f t="shared" si="27"/>
        <v>439999.99999999895</v>
      </c>
    </row>
    <row r="241" spans="1:9" x14ac:dyDescent="0.25">
      <c r="A241" t="str">
        <f t="shared" si="24"/>
        <v/>
      </c>
      <c r="D241" s="3">
        <f>H240*Sheet1!$C$5/12</f>
        <v>6.3713893420451022E-12</v>
      </c>
      <c r="E241" s="3">
        <f>IF(H240&lt;0.01,0,Sheet1!$C$6-D241)</f>
        <v>0</v>
      </c>
      <c r="F241" s="3">
        <f t="shared" si="25"/>
        <v>557078.78395859152</v>
      </c>
      <c r="G241">
        <f t="shared" si="23"/>
        <v>15701.474744759675</v>
      </c>
      <c r="H241" s="3">
        <f t="shared" si="26"/>
        <v>8.9949026005342603E-10</v>
      </c>
      <c r="I241" s="3">
        <f t="shared" si="27"/>
        <v>439999.99999999895</v>
      </c>
    </row>
    <row r="242" spans="1:9" x14ac:dyDescent="0.25">
      <c r="A242" t="str">
        <f t="shared" si="24"/>
        <v/>
      </c>
      <c r="D242" s="3">
        <f>H241*Sheet1!$C$5/12</f>
        <v>6.3713893420451022E-12</v>
      </c>
      <c r="E242" s="3">
        <f>IF(H241&lt;0.01,0,Sheet1!$C$6-D242)</f>
        <v>0</v>
      </c>
      <c r="F242" s="3">
        <f t="shared" si="25"/>
        <v>557078.78395859152</v>
      </c>
      <c r="G242">
        <f t="shared" si="23"/>
        <v>15701.474744759675</v>
      </c>
      <c r="H242" s="3">
        <f t="shared" si="26"/>
        <v>8.9949026005342603E-10</v>
      </c>
      <c r="I242" s="3">
        <f t="shared" si="27"/>
        <v>439999.99999999895</v>
      </c>
    </row>
    <row r="243" spans="1:9" x14ac:dyDescent="0.25">
      <c r="A243" t="str">
        <f t="shared" si="24"/>
        <v/>
      </c>
      <c r="D243" s="3">
        <f>H242*Sheet1!$C$5/12</f>
        <v>6.3713893420451022E-12</v>
      </c>
      <c r="E243" s="3">
        <f>IF(H242&lt;0.01,0,Sheet1!$C$6-D243)</f>
        <v>0</v>
      </c>
      <c r="F243" s="3">
        <f t="shared" ref="F243:F306" si="28">F242+D243+E243</f>
        <v>557078.78395859152</v>
      </c>
      <c r="G243">
        <f t="shared" si="23"/>
        <v>15701.474744759675</v>
      </c>
      <c r="H243" s="3">
        <f t="shared" ref="H243:H306" si="29">H242-E243</f>
        <v>8.9949026005342603E-10</v>
      </c>
      <c r="I243" s="3">
        <f t="shared" ref="I243:I306" si="30">E243+I242</f>
        <v>439999.99999999895</v>
      </c>
    </row>
    <row r="244" spans="1:9" x14ac:dyDescent="0.25">
      <c r="A244" t="str">
        <f t="shared" si="24"/>
        <v/>
      </c>
      <c r="D244" s="3">
        <f>H243*Sheet1!$C$5/12</f>
        <v>6.3713893420451022E-12</v>
      </c>
      <c r="E244" s="3">
        <f>IF(H243&lt;0.01,0,Sheet1!$C$6-D244)</f>
        <v>0</v>
      </c>
      <c r="F244" s="3">
        <f t="shared" si="28"/>
        <v>557078.78395859152</v>
      </c>
      <c r="G244">
        <f t="shared" si="23"/>
        <v>15701.474744759675</v>
      </c>
      <c r="H244" s="3">
        <f t="shared" si="29"/>
        <v>8.9949026005342603E-10</v>
      </c>
      <c r="I244" s="3">
        <f t="shared" si="30"/>
        <v>439999.99999999895</v>
      </c>
    </row>
    <row r="245" spans="1:9" x14ac:dyDescent="0.25">
      <c r="A245" t="str">
        <f t="shared" si="24"/>
        <v/>
      </c>
      <c r="D245" s="3">
        <f>H244*Sheet1!$C$5/12</f>
        <v>6.3713893420451022E-12</v>
      </c>
      <c r="E245" s="3">
        <f>IF(H244&lt;0.01,0,Sheet1!$C$6-D245)</f>
        <v>0</v>
      </c>
      <c r="F245" s="3">
        <f t="shared" si="28"/>
        <v>557078.78395859152</v>
      </c>
      <c r="G245">
        <f t="shared" si="23"/>
        <v>15701.474744759675</v>
      </c>
      <c r="H245" s="3">
        <f t="shared" si="29"/>
        <v>8.9949026005342603E-10</v>
      </c>
      <c r="I245" s="3">
        <f t="shared" si="30"/>
        <v>439999.99999999895</v>
      </c>
    </row>
    <row r="246" spans="1:9" x14ac:dyDescent="0.25">
      <c r="A246" t="str">
        <f t="shared" si="24"/>
        <v/>
      </c>
      <c r="D246" s="3">
        <f>H245*Sheet1!$C$5/12</f>
        <v>6.3713893420451022E-12</v>
      </c>
      <c r="E246" s="3">
        <f>IF(H245&lt;0.01,0,Sheet1!$C$6-D246)</f>
        <v>0</v>
      </c>
      <c r="F246" s="3">
        <f t="shared" si="28"/>
        <v>557078.78395859152</v>
      </c>
      <c r="G246">
        <f t="shared" si="23"/>
        <v>15701.474744759675</v>
      </c>
      <c r="H246" s="3">
        <f t="shared" si="29"/>
        <v>8.9949026005342603E-10</v>
      </c>
      <c r="I246" s="3">
        <f t="shared" si="30"/>
        <v>439999.99999999895</v>
      </c>
    </row>
    <row r="247" spans="1:9" x14ac:dyDescent="0.25">
      <c r="A247" t="str">
        <f t="shared" si="24"/>
        <v/>
      </c>
      <c r="D247" s="3">
        <f>H246*Sheet1!$C$5/12</f>
        <v>6.3713893420451022E-12</v>
      </c>
      <c r="E247" s="3">
        <f>IF(H246&lt;0.01,0,Sheet1!$C$6-D247)</f>
        <v>0</v>
      </c>
      <c r="F247" s="3">
        <f t="shared" si="28"/>
        <v>557078.78395859152</v>
      </c>
      <c r="G247">
        <f t="shared" si="23"/>
        <v>15701.474744759675</v>
      </c>
      <c r="H247" s="3">
        <f t="shared" si="29"/>
        <v>8.9949026005342603E-10</v>
      </c>
      <c r="I247" s="3">
        <f t="shared" si="30"/>
        <v>439999.99999999895</v>
      </c>
    </row>
    <row r="248" spans="1:9" x14ac:dyDescent="0.25">
      <c r="A248" t="str">
        <f t="shared" si="24"/>
        <v/>
      </c>
      <c r="D248" s="3">
        <f>H247*Sheet1!$C$5/12</f>
        <v>6.3713893420451022E-12</v>
      </c>
      <c r="E248" s="3">
        <f>IF(H247&lt;0.01,0,Sheet1!$C$6-D248)</f>
        <v>0</v>
      </c>
      <c r="F248" s="3">
        <f t="shared" si="28"/>
        <v>557078.78395859152</v>
      </c>
      <c r="G248">
        <f t="shared" si="23"/>
        <v>15701.474744759675</v>
      </c>
      <c r="H248" s="3">
        <f t="shared" si="29"/>
        <v>8.9949026005342603E-10</v>
      </c>
      <c r="I248" s="3">
        <f t="shared" si="30"/>
        <v>439999.99999999895</v>
      </c>
    </row>
    <row r="249" spans="1:9" x14ac:dyDescent="0.25">
      <c r="A249" t="str">
        <f t="shared" si="24"/>
        <v/>
      </c>
      <c r="D249" s="3">
        <f>H248*Sheet1!$C$5/12</f>
        <v>6.3713893420451022E-12</v>
      </c>
      <c r="E249" s="3">
        <f>IF(H248&lt;0.01,0,Sheet1!$C$6-D249)</f>
        <v>0</v>
      </c>
      <c r="F249" s="3">
        <f t="shared" si="28"/>
        <v>557078.78395859152</v>
      </c>
      <c r="G249">
        <f t="shared" si="23"/>
        <v>15701.474744759675</v>
      </c>
      <c r="H249" s="3">
        <f t="shared" si="29"/>
        <v>8.9949026005342603E-10</v>
      </c>
      <c r="I249" s="3">
        <f t="shared" si="30"/>
        <v>439999.99999999895</v>
      </c>
    </row>
    <row r="250" spans="1:9" x14ac:dyDescent="0.25">
      <c r="A250" t="str">
        <f t="shared" si="24"/>
        <v/>
      </c>
      <c r="D250" s="3">
        <f>H249*Sheet1!$C$5/12</f>
        <v>6.3713893420451022E-12</v>
      </c>
      <c r="E250" s="3">
        <f>IF(H249&lt;0.01,0,Sheet1!$C$6-D250)</f>
        <v>0</v>
      </c>
      <c r="F250" s="3">
        <f t="shared" si="28"/>
        <v>557078.78395859152</v>
      </c>
      <c r="G250">
        <f t="shared" si="23"/>
        <v>15701.474744759675</v>
      </c>
      <c r="H250" s="3">
        <f t="shared" si="29"/>
        <v>8.9949026005342603E-10</v>
      </c>
      <c r="I250" s="3">
        <f t="shared" si="30"/>
        <v>439999.99999999895</v>
      </c>
    </row>
    <row r="251" spans="1:9" x14ac:dyDescent="0.25">
      <c r="A251" t="str">
        <f t="shared" si="24"/>
        <v/>
      </c>
      <c r="D251" s="3">
        <f>H250*Sheet1!$C$5/12</f>
        <v>6.3713893420451022E-12</v>
      </c>
      <c r="E251" s="3">
        <f>IF(H250&lt;0.01,0,Sheet1!$C$6-D251)</f>
        <v>0</v>
      </c>
      <c r="F251" s="3">
        <f t="shared" si="28"/>
        <v>557078.78395859152</v>
      </c>
      <c r="G251">
        <f t="shared" si="23"/>
        <v>15701.474744759675</v>
      </c>
      <c r="H251" s="3">
        <f t="shared" si="29"/>
        <v>8.9949026005342603E-10</v>
      </c>
      <c r="I251" s="3">
        <f t="shared" si="30"/>
        <v>439999.99999999895</v>
      </c>
    </row>
    <row r="252" spans="1:9" x14ac:dyDescent="0.25">
      <c r="A252" t="str">
        <f t="shared" si="24"/>
        <v/>
      </c>
      <c r="D252" s="3">
        <f>H251*Sheet1!$C$5/12</f>
        <v>6.3713893420451022E-12</v>
      </c>
      <c r="E252" s="3">
        <f>IF(H251&lt;0.01,0,Sheet1!$C$6-D252)</f>
        <v>0</v>
      </c>
      <c r="F252" s="3">
        <f t="shared" si="28"/>
        <v>557078.78395859152</v>
      </c>
      <c r="G252">
        <f t="shared" si="23"/>
        <v>15701.474744759675</v>
      </c>
      <c r="H252" s="3">
        <f t="shared" si="29"/>
        <v>8.9949026005342603E-10</v>
      </c>
      <c r="I252" s="3">
        <f t="shared" si="30"/>
        <v>439999.99999999895</v>
      </c>
    </row>
    <row r="253" spans="1:9" x14ac:dyDescent="0.25">
      <c r="A253" t="str">
        <f t="shared" si="24"/>
        <v/>
      </c>
      <c r="D253" s="3">
        <f>H252*Sheet1!$C$5/12</f>
        <v>6.3713893420451022E-12</v>
      </c>
      <c r="E253" s="3">
        <f>IF(H252&lt;0.01,0,Sheet1!$C$6-D253)</f>
        <v>0</v>
      </c>
      <c r="F253" s="3">
        <f t="shared" si="28"/>
        <v>557078.78395859152</v>
      </c>
      <c r="G253">
        <f t="shared" si="23"/>
        <v>15701.474744759675</v>
      </c>
      <c r="H253" s="3">
        <f t="shared" si="29"/>
        <v>8.9949026005342603E-10</v>
      </c>
      <c r="I253" s="3">
        <f t="shared" si="30"/>
        <v>439999.99999999895</v>
      </c>
    </row>
    <row r="254" spans="1:9" x14ac:dyDescent="0.25">
      <c r="A254" t="str">
        <f t="shared" si="24"/>
        <v/>
      </c>
      <c r="D254" s="3">
        <f>H253*Sheet1!$C$5/12</f>
        <v>6.3713893420451022E-12</v>
      </c>
      <c r="E254" s="3">
        <f>IF(H253&lt;0.01,0,Sheet1!$C$6-D254)</f>
        <v>0</v>
      </c>
      <c r="F254" s="3">
        <f t="shared" si="28"/>
        <v>557078.78395859152</v>
      </c>
      <c r="G254">
        <f t="shared" si="23"/>
        <v>15701.474744759675</v>
      </c>
      <c r="H254" s="3">
        <f t="shared" si="29"/>
        <v>8.9949026005342603E-10</v>
      </c>
      <c r="I254" s="3">
        <f t="shared" si="30"/>
        <v>439999.99999999895</v>
      </c>
    </row>
    <row r="255" spans="1:9" x14ac:dyDescent="0.25">
      <c r="A255" t="str">
        <f t="shared" si="24"/>
        <v/>
      </c>
      <c r="D255" s="3">
        <f>H254*Sheet1!$C$5/12</f>
        <v>6.3713893420451022E-12</v>
      </c>
      <c r="E255" s="3">
        <f>IF(H254&lt;0.01,0,Sheet1!$C$6-D255)</f>
        <v>0</v>
      </c>
      <c r="F255" s="3">
        <f t="shared" si="28"/>
        <v>557078.78395859152</v>
      </c>
      <c r="G255">
        <f t="shared" si="23"/>
        <v>15701.474744759675</v>
      </c>
      <c r="H255" s="3">
        <f t="shared" si="29"/>
        <v>8.9949026005342603E-10</v>
      </c>
      <c r="I255" s="3">
        <f t="shared" si="30"/>
        <v>439999.99999999895</v>
      </c>
    </row>
    <row r="256" spans="1:9" x14ac:dyDescent="0.25">
      <c r="A256" t="str">
        <f t="shared" si="24"/>
        <v/>
      </c>
      <c r="D256" s="3">
        <f>H255*Sheet1!$C$5/12</f>
        <v>6.3713893420451022E-12</v>
      </c>
      <c r="E256" s="3">
        <f>IF(H255&lt;0.01,0,Sheet1!$C$6-D256)</f>
        <v>0</v>
      </c>
      <c r="F256" s="3">
        <f t="shared" si="28"/>
        <v>557078.78395859152</v>
      </c>
      <c r="G256">
        <f t="shared" si="23"/>
        <v>15701.474744759675</v>
      </c>
      <c r="H256" s="3">
        <f t="shared" si="29"/>
        <v>8.9949026005342603E-10</v>
      </c>
      <c r="I256" s="3">
        <f t="shared" si="30"/>
        <v>439999.99999999895</v>
      </c>
    </row>
    <row r="257" spans="1:9" x14ac:dyDescent="0.25">
      <c r="A257" t="str">
        <f t="shared" si="24"/>
        <v/>
      </c>
      <c r="D257" s="3">
        <f>H256*Sheet1!$C$5/12</f>
        <v>6.3713893420451022E-12</v>
      </c>
      <c r="E257" s="3">
        <f>IF(H256&lt;0.01,0,Sheet1!$C$6-D257)</f>
        <v>0</v>
      </c>
      <c r="F257" s="3">
        <f t="shared" si="28"/>
        <v>557078.78395859152</v>
      </c>
      <c r="G257">
        <f t="shared" si="23"/>
        <v>15701.474744759675</v>
      </c>
      <c r="H257" s="3">
        <f t="shared" si="29"/>
        <v>8.9949026005342603E-10</v>
      </c>
      <c r="I257" s="3">
        <f t="shared" si="30"/>
        <v>439999.99999999895</v>
      </c>
    </row>
    <row r="258" spans="1:9" x14ac:dyDescent="0.25">
      <c r="A258" t="str">
        <f t="shared" si="24"/>
        <v/>
      </c>
      <c r="D258" s="3">
        <f>H257*Sheet1!$C$5/12</f>
        <v>6.3713893420451022E-12</v>
      </c>
      <c r="E258" s="3">
        <f>IF(H257&lt;0.01,0,Sheet1!$C$6-D258)</f>
        <v>0</v>
      </c>
      <c r="F258" s="3">
        <f t="shared" si="28"/>
        <v>557078.78395859152</v>
      </c>
      <c r="G258">
        <f t="shared" si="23"/>
        <v>15701.474744759675</v>
      </c>
      <c r="H258" s="3">
        <f t="shared" si="29"/>
        <v>8.9949026005342603E-10</v>
      </c>
      <c r="I258" s="3">
        <f t="shared" si="30"/>
        <v>439999.99999999895</v>
      </c>
    </row>
    <row r="259" spans="1:9" x14ac:dyDescent="0.25">
      <c r="A259" t="str">
        <f t="shared" si="24"/>
        <v/>
      </c>
      <c r="D259" s="3">
        <f>H258*Sheet1!$C$5/12</f>
        <v>6.3713893420451022E-12</v>
      </c>
      <c r="E259" s="3">
        <f>IF(H258&lt;0.01,0,Sheet1!$C$6-D259)</f>
        <v>0</v>
      </c>
      <c r="F259" s="3">
        <f t="shared" si="28"/>
        <v>557078.78395859152</v>
      </c>
      <c r="G259">
        <f t="shared" ref="G259:G322" si="31">IFERROR(F259/(26.4*(1+3%)^A259),G258)</f>
        <v>15701.474744759675</v>
      </c>
      <c r="H259" s="3">
        <f t="shared" si="29"/>
        <v>8.9949026005342603E-10</v>
      </c>
      <c r="I259" s="3">
        <f t="shared" si="30"/>
        <v>439999.99999999895</v>
      </c>
    </row>
    <row r="260" spans="1:9" x14ac:dyDescent="0.25">
      <c r="A260" t="str">
        <f t="shared" si="24"/>
        <v/>
      </c>
      <c r="D260" s="3">
        <f>H259*Sheet1!$C$5/12</f>
        <v>6.3713893420451022E-12</v>
      </c>
      <c r="E260" s="3">
        <f>IF(H259&lt;0.01,0,Sheet1!$C$6-D260)</f>
        <v>0</v>
      </c>
      <c r="F260" s="3">
        <f t="shared" si="28"/>
        <v>557078.78395859152</v>
      </c>
      <c r="G260">
        <f t="shared" si="31"/>
        <v>15701.474744759675</v>
      </c>
      <c r="H260" s="3">
        <f t="shared" si="29"/>
        <v>8.9949026005342603E-10</v>
      </c>
      <c r="I260" s="3">
        <f t="shared" si="30"/>
        <v>439999.99999999895</v>
      </c>
    </row>
    <row r="261" spans="1:9" x14ac:dyDescent="0.25">
      <c r="A261" t="str">
        <f t="shared" si="24"/>
        <v/>
      </c>
      <c r="D261" s="3">
        <f>H260*Sheet1!$C$5/12</f>
        <v>6.3713893420451022E-12</v>
      </c>
      <c r="E261" s="3">
        <f>IF(H260&lt;0.01,0,Sheet1!$C$6-D261)</f>
        <v>0</v>
      </c>
      <c r="F261" s="3">
        <f t="shared" si="28"/>
        <v>557078.78395859152</v>
      </c>
      <c r="G261">
        <f t="shared" si="31"/>
        <v>15701.474744759675</v>
      </c>
      <c r="H261" s="3">
        <f t="shared" si="29"/>
        <v>8.9949026005342603E-10</v>
      </c>
      <c r="I261" s="3">
        <f t="shared" si="30"/>
        <v>439999.99999999895</v>
      </c>
    </row>
    <row r="262" spans="1:9" x14ac:dyDescent="0.25">
      <c r="A262" t="str">
        <f t="shared" si="24"/>
        <v/>
      </c>
      <c r="D262" s="3">
        <f>H261*Sheet1!$C$5/12</f>
        <v>6.3713893420451022E-12</v>
      </c>
      <c r="E262" s="3">
        <f>IF(H261&lt;0.01,0,Sheet1!$C$6-D262)</f>
        <v>0</v>
      </c>
      <c r="F262" s="3">
        <f t="shared" si="28"/>
        <v>557078.78395859152</v>
      </c>
      <c r="G262">
        <f t="shared" si="31"/>
        <v>15701.474744759675</v>
      </c>
      <c r="H262" s="3">
        <f t="shared" si="29"/>
        <v>8.9949026005342603E-10</v>
      </c>
      <c r="I262" s="3">
        <f t="shared" si="30"/>
        <v>439999.99999999895</v>
      </c>
    </row>
    <row r="263" spans="1:9" x14ac:dyDescent="0.25">
      <c r="A263" t="str">
        <f t="shared" si="24"/>
        <v/>
      </c>
      <c r="D263" s="3">
        <f>H262*Sheet1!$C$5/12</f>
        <v>6.3713893420451022E-12</v>
      </c>
      <c r="E263" s="3">
        <f>IF(H262&lt;0.01,0,Sheet1!$C$6-D263)</f>
        <v>0</v>
      </c>
      <c r="F263" s="3">
        <f t="shared" si="28"/>
        <v>557078.78395859152</v>
      </c>
      <c r="G263">
        <f t="shared" si="31"/>
        <v>15701.474744759675</v>
      </c>
      <c r="H263" s="3">
        <f t="shared" si="29"/>
        <v>8.9949026005342603E-10</v>
      </c>
      <c r="I263" s="3">
        <f t="shared" si="30"/>
        <v>439999.99999999895</v>
      </c>
    </row>
    <row r="264" spans="1:9" x14ac:dyDescent="0.25">
      <c r="A264" t="str">
        <f t="shared" si="24"/>
        <v/>
      </c>
      <c r="D264" s="3">
        <f>H263*Sheet1!$C$5/12</f>
        <v>6.3713893420451022E-12</v>
      </c>
      <c r="E264" s="3">
        <f>IF(H263&lt;0.01,0,Sheet1!$C$6-D264)</f>
        <v>0</v>
      </c>
      <c r="F264" s="3">
        <f t="shared" si="28"/>
        <v>557078.78395859152</v>
      </c>
      <c r="G264">
        <f t="shared" si="31"/>
        <v>15701.474744759675</v>
      </c>
      <c r="H264" s="3">
        <f t="shared" si="29"/>
        <v>8.9949026005342603E-10</v>
      </c>
      <c r="I264" s="3">
        <f t="shared" si="30"/>
        <v>439999.99999999895</v>
      </c>
    </row>
    <row r="265" spans="1:9" x14ac:dyDescent="0.25">
      <c r="A265" t="str">
        <f t="shared" si="24"/>
        <v/>
      </c>
      <c r="D265" s="3">
        <f>H264*Sheet1!$C$5/12</f>
        <v>6.3713893420451022E-12</v>
      </c>
      <c r="E265" s="3">
        <f>IF(H264&lt;0.01,0,Sheet1!$C$6-D265)</f>
        <v>0</v>
      </c>
      <c r="F265" s="3">
        <f t="shared" si="28"/>
        <v>557078.78395859152</v>
      </c>
      <c r="G265">
        <f t="shared" si="31"/>
        <v>15701.474744759675</v>
      </c>
      <c r="H265" s="3">
        <f t="shared" si="29"/>
        <v>8.9949026005342603E-10</v>
      </c>
      <c r="I265" s="3">
        <f t="shared" si="30"/>
        <v>439999.99999999895</v>
      </c>
    </row>
    <row r="266" spans="1:9" x14ac:dyDescent="0.25">
      <c r="A266" t="str">
        <f t="shared" si="24"/>
        <v/>
      </c>
      <c r="D266" s="3">
        <f>H265*Sheet1!$C$5/12</f>
        <v>6.3713893420451022E-12</v>
      </c>
      <c r="E266" s="3">
        <f>IF(H265&lt;0.01,0,Sheet1!$C$6-D266)</f>
        <v>0</v>
      </c>
      <c r="F266" s="3">
        <f t="shared" si="28"/>
        <v>557078.78395859152</v>
      </c>
      <c r="G266">
        <f t="shared" si="31"/>
        <v>15701.474744759675</v>
      </c>
      <c r="H266" s="3">
        <f t="shared" si="29"/>
        <v>8.9949026005342603E-10</v>
      </c>
      <c r="I266" s="3">
        <f t="shared" si="30"/>
        <v>439999.99999999895</v>
      </c>
    </row>
    <row r="267" spans="1:9" x14ac:dyDescent="0.25">
      <c r="A267" t="str">
        <f t="shared" si="24"/>
        <v/>
      </c>
      <c r="D267" s="3">
        <f>H266*Sheet1!$C$5/12</f>
        <v>6.3713893420451022E-12</v>
      </c>
      <c r="E267" s="3">
        <f>IF(H266&lt;0.01,0,Sheet1!$C$6-D267)</f>
        <v>0</v>
      </c>
      <c r="F267" s="3">
        <f t="shared" si="28"/>
        <v>557078.78395859152</v>
      </c>
      <c r="G267">
        <f t="shared" si="31"/>
        <v>15701.474744759675</v>
      </c>
      <c r="H267" s="3">
        <f t="shared" si="29"/>
        <v>8.9949026005342603E-10</v>
      </c>
      <c r="I267" s="3">
        <f t="shared" si="30"/>
        <v>439999.99999999895</v>
      </c>
    </row>
    <row r="268" spans="1:9" x14ac:dyDescent="0.25">
      <c r="A268" t="str">
        <f t="shared" si="24"/>
        <v/>
      </c>
      <c r="D268" s="3">
        <f>H267*Sheet1!$C$5/12</f>
        <v>6.3713893420451022E-12</v>
      </c>
      <c r="E268" s="3">
        <f>IF(H267&lt;0.01,0,Sheet1!$C$6-D268)</f>
        <v>0</v>
      </c>
      <c r="F268" s="3">
        <f t="shared" si="28"/>
        <v>557078.78395859152</v>
      </c>
      <c r="G268">
        <f t="shared" si="31"/>
        <v>15701.474744759675</v>
      </c>
      <c r="H268" s="3">
        <f t="shared" si="29"/>
        <v>8.9949026005342603E-10</v>
      </c>
      <c r="I268" s="3">
        <f t="shared" si="30"/>
        <v>439999.99999999895</v>
      </c>
    </row>
    <row r="269" spans="1:9" x14ac:dyDescent="0.25">
      <c r="A269" t="str">
        <f t="shared" si="24"/>
        <v/>
      </c>
      <c r="D269" s="3">
        <f>H268*Sheet1!$C$5/12</f>
        <v>6.3713893420451022E-12</v>
      </c>
      <c r="E269" s="3">
        <f>IF(H268&lt;0.01,0,Sheet1!$C$6-D269)</f>
        <v>0</v>
      </c>
      <c r="F269" s="3">
        <f t="shared" si="28"/>
        <v>557078.78395859152</v>
      </c>
      <c r="G269">
        <f t="shared" si="31"/>
        <v>15701.474744759675</v>
      </c>
      <c r="H269" s="3">
        <f t="shared" si="29"/>
        <v>8.9949026005342603E-10</v>
      </c>
      <c r="I269" s="3">
        <f t="shared" si="30"/>
        <v>439999.99999999895</v>
      </c>
    </row>
    <row r="270" spans="1:9" x14ac:dyDescent="0.25">
      <c r="A270" t="str">
        <f t="shared" si="24"/>
        <v/>
      </c>
      <c r="D270" s="3">
        <f>H269*Sheet1!$C$5/12</f>
        <v>6.3713893420451022E-12</v>
      </c>
      <c r="E270" s="3">
        <f>IF(H269&lt;0.01,0,Sheet1!$C$6-D270)</f>
        <v>0</v>
      </c>
      <c r="F270" s="3">
        <f t="shared" si="28"/>
        <v>557078.78395859152</v>
      </c>
      <c r="G270">
        <f t="shared" si="31"/>
        <v>15701.474744759675</v>
      </c>
      <c r="H270" s="3">
        <f t="shared" si="29"/>
        <v>8.9949026005342603E-10</v>
      </c>
      <c r="I270" s="3">
        <f t="shared" si="30"/>
        <v>439999.99999999895</v>
      </c>
    </row>
    <row r="271" spans="1:9" x14ac:dyDescent="0.25">
      <c r="A271" t="str">
        <f t="shared" si="24"/>
        <v/>
      </c>
      <c r="D271" s="3">
        <f>H270*Sheet1!$C$5/12</f>
        <v>6.3713893420451022E-12</v>
      </c>
      <c r="E271" s="3">
        <f>IF(H270&lt;0.01,0,Sheet1!$C$6-D271)</f>
        <v>0</v>
      </c>
      <c r="F271" s="3">
        <f t="shared" si="28"/>
        <v>557078.78395859152</v>
      </c>
      <c r="G271">
        <f t="shared" si="31"/>
        <v>15701.474744759675</v>
      </c>
      <c r="H271" s="3">
        <f t="shared" si="29"/>
        <v>8.9949026005342603E-10</v>
      </c>
      <c r="I271" s="3">
        <f t="shared" si="30"/>
        <v>439999.99999999895</v>
      </c>
    </row>
    <row r="272" spans="1:9" x14ac:dyDescent="0.25">
      <c r="A272" t="str">
        <f t="shared" si="24"/>
        <v/>
      </c>
      <c r="D272" s="3">
        <f>H271*Sheet1!$C$5/12</f>
        <v>6.3713893420451022E-12</v>
      </c>
      <c r="E272" s="3">
        <f>IF(H271&lt;0.01,0,Sheet1!$C$6-D272)</f>
        <v>0</v>
      </c>
      <c r="F272" s="3">
        <f t="shared" si="28"/>
        <v>557078.78395859152</v>
      </c>
      <c r="G272">
        <f t="shared" si="31"/>
        <v>15701.474744759675</v>
      </c>
      <c r="H272" s="3">
        <f t="shared" si="29"/>
        <v>8.9949026005342603E-10</v>
      </c>
      <c r="I272" s="3">
        <f t="shared" si="30"/>
        <v>439999.99999999895</v>
      </c>
    </row>
    <row r="273" spans="1:9" x14ac:dyDescent="0.25">
      <c r="A273" t="str">
        <f t="shared" ref="A273:A336" si="32">IF(ISBLANK(B273),"",CEILING(B273/12,1))</f>
        <v/>
      </c>
      <c r="D273" s="3">
        <f>H272*Sheet1!$C$5/12</f>
        <v>6.3713893420451022E-12</v>
      </c>
      <c r="E273" s="3">
        <f>IF(H272&lt;0.01,0,Sheet1!$C$6-D273)</f>
        <v>0</v>
      </c>
      <c r="F273" s="3">
        <f t="shared" si="28"/>
        <v>557078.78395859152</v>
      </c>
      <c r="G273">
        <f t="shared" si="31"/>
        <v>15701.474744759675</v>
      </c>
      <c r="H273" s="3">
        <f t="shared" si="29"/>
        <v>8.9949026005342603E-10</v>
      </c>
      <c r="I273" s="3">
        <f t="shared" si="30"/>
        <v>439999.99999999895</v>
      </c>
    </row>
    <row r="274" spans="1:9" x14ac:dyDescent="0.25">
      <c r="A274" t="str">
        <f t="shared" si="32"/>
        <v/>
      </c>
      <c r="D274" s="3">
        <f>H273*Sheet1!$C$5/12</f>
        <v>6.3713893420451022E-12</v>
      </c>
      <c r="E274" s="3">
        <f>IF(H273&lt;0.01,0,Sheet1!$C$6-D274)</f>
        <v>0</v>
      </c>
      <c r="F274" s="3">
        <f t="shared" si="28"/>
        <v>557078.78395859152</v>
      </c>
      <c r="G274">
        <f t="shared" si="31"/>
        <v>15701.474744759675</v>
      </c>
      <c r="H274" s="3">
        <f t="shared" si="29"/>
        <v>8.9949026005342603E-10</v>
      </c>
      <c r="I274" s="3">
        <f t="shared" si="30"/>
        <v>439999.99999999895</v>
      </c>
    </row>
    <row r="275" spans="1:9" x14ac:dyDescent="0.25">
      <c r="A275" t="str">
        <f t="shared" si="32"/>
        <v/>
      </c>
      <c r="D275" s="3">
        <f>H274*Sheet1!$C$5/12</f>
        <v>6.3713893420451022E-12</v>
      </c>
      <c r="E275" s="3">
        <f>IF(H274&lt;0.01,0,Sheet1!$C$6-D275)</f>
        <v>0</v>
      </c>
      <c r="F275" s="3">
        <f t="shared" si="28"/>
        <v>557078.78395859152</v>
      </c>
      <c r="G275">
        <f t="shared" si="31"/>
        <v>15701.474744759675</v>
      </c>
      <c r="H275" s="3">
        <f t="shared" si="29"/>
        <v>8.9949026005342603E-10</v>
      </c>
      <c r="I275" s="3">
        <f t="shared" si="30"/>
        <v>439999.99999999895</v>
      </c>
    </row>
    <row r="276" spans="1:9" x14ac:dyDescent="0.25">
      <c r="A276" t="str">
        <f t="shared" si="32"/>
        <v/>
      </c>
      <c r="D276" s="3">
        <f>H275*Sheet1!$C$5/12</f>
        <v>6.3713893420451022E-12</v>
      </c>
      <c r="E276" s="3">
        <f>IF(H275&lt;0.01,0,Sheet1!$C$6-D276)</f>
        <v>0</v>
      </c>
      <c r="F276" s="3">
        <f t="shared" si="28"/>
        <v>557078.78395859152</v>
      </c>
      <c r="G276">
        <f t="shared" si="31"/>
        <v>15701.474744759675</v>
      </c>
      <c r="H276" s="3">
        <f t="shared" si="29"/>
        <v>8.9949026005342603E-10</v>
      </c>
      <c r="I276" s="3">
        <f t="shared" si="30"/>
        <v>439999.99999999895</v>
      </c>
    </row>
    <row r="277" spans="1:9" x14ac:dyDescent="0.25">
      <c r="A277" t="str">
        <f t="shared" si="32"/>
        <v/>
      </c>
      <c r="D277" s="3">
        <f>H276*Sheet1!$C$5/12</f>
        <v>6.3713893420451022E-12</v>
      </c>
      <c r="E277" s="3">
        <f>IF(H276&lt;0.01,0,Sheet1!$C$6-D277)</f>
        <v>0</v>
      </c>
      <c r="F277" s="3">
        <f t="shared" si="28"/>
        <v>557078.78395859152</v>
      </c>
      <c r="G277">
        <f t="shared" si="31"/>
        <v>15701.474744759675</v>
      </c>
      <c r="H277" s="3">
        <f t="shared" si="29"/>
        <v>8.9949026005342603E-10</v>
      </c>
      <c r="I277" s="3">
        <f t="shared" si="30"/>
        <v>439999.99999999895</v>
      </c>
    </row>
    <row r="278" spans="1:9" x14ac:dyDescent="0.25">
      <c r="A278" t="str">
        <f t="shared" si="32"/>
        <v/>
      </c>
      <c r="D278" s="3">
        <f>H277*Sheet1!$C$5/12</f>
        <v>6.3713893420451022E-12</v>
      </c>
      <c r="E278" s="3">
        <f>IF(H277&lt;0.01,0,Sheet1!$C$6-D278)</f>
        <v>0</v>
      </c>
      <c r="F278" s="3">
        <f t="shared" si="28"/>
        <v>557078.78395859152</v>
      </c>
      <c r="G278">
        <f t="shared" si="31"/>
        <v>15701.474744759675</v>
      </c>
      <c r="H278" s="3">
        <f t="shared" si="29"/>
        <v>8.9949026005342603E-10</v>
      </c>
      <c r="I278" s="3">
        <f t="shared" si="30"/>
        <v>439999.99999999895</v>
      </c>
    </row>
    <row r="279" spans="1:9" x14ac:dyDescent="0.25">
      <c r="A279" t="str">
        <f t="shared" si="32"/>
        <v/>
      </c>
      <c r="D279" s="3">
        <f>H278*Sheet1!$C$5/12</f>
        <v>6.3713893420451022E-12</v>
      </c>
      <c r="E279" s="3">
        <f>IF(H278&lt;0.01,0,Sheet1!$C$6-D279)</f>
        <v>0</v>
      </c>
      <c r="F279" s="3">
        <f t="shared" si="28"/>
        <v>557078.78395859152</v>
      </c>
      <c r="G279">
        <f t="shared" si="31"/>
        <v>15701.474744759675</v>
      </c>
      <c r="H279" s="3">
        <f t="shared" si="29"/>
        <v>8.9949026005342603E-10</v>
      </c>
      <c r="I279" s="3">
        <f t="shared" si="30"/>
        <v>439999.99999999895</v>
      </c>
    </row>
    <row r="280" spans="1:9" x14ac:dyDescent="0.25">
      <c r="A280" t="str">
        <f t="shared" si="32"/>
        <v/>
      </c>
      <c r="D280" s="3">
        <f>H279*Sheet1!$C$5/12</f>
        <v>6.3713893420451022E-12</v>
      </c>
      <c r="E280" s="3">
        <f>IF(H279&lt;0.01,0,Sheet1!$C$6-D280)</f>
        <v>0</v>
      </c>
      <c r="F280" s="3">
        <f t="shared" si="28"/>
        <v>557078.78395859152</v>
      </c>
      <c r="G280">
        <f t="shared" si="31"/>
        <v>15701.474744759675</v>
      </c>
      <c r="H280" s="3">
        <f t="shared" si="29"/>
        <v>8.9949026005342603E-10</v>
      </c>
      <c r="I280" s="3">
        <f t="shared" si="30"/>
        <v>439999.99999999895</v>
      </c>
    </row>
    <row r="281" spans="1:9" x14ac:dyDescent="0.25">
      <c r="A281" t="str">
        <f t="shared" si="32"/>
        <v/>
      </c>
      <c r="D281" s="3">
        <f>H280*Sheet1!$C$5/12</f>
        <v>6.3713893420451022E-12</v>
      </c>
      <c r="E281" s="3">
        <f>IF(H280&lt;0.01,0,Sheet1!$C$6-D281)</f>
        <v>0</v>
      </c>
      <c r="F281" s="3">
        <f t="shared" si="28"/>
        <v>557078.78395859152</v>
      </c>
      <c r="G281">
        <f t="shared" si="31"/>
        <v>15701.474744759675</v>
      </c>
      <c r="H281" s="3">
        <f t="shared" si="29"/>
        <v>8.9949026005342603E-10</v>
      </c>
      <c r="I281" s="3">
        <f t="shared" si="30"/>
        <v>439999.99999999895</v>
      </c>
    </row>
    <row r="282" spans="1:9" x14ac:dyDescent="0.25">
      <c r="A282" t="str">
        <f t="shared" si="32"/>
        <v/>
      </c>
      <c r="D282" s="3">
        <f>H281*Sheet1!$C$5/12</f>
        <v>6.3713893420451022E-12</v>
      </c>
      <c r="E282" s="3">
        <f>IF(H281&lt;0.01,0,Sheet1!$C$6-D282)</f>
        <v>0</v>
      </c>
      <c r="F282" s="3">
        <f t="shared" si="28"/>
        <v>557078.78395859152</v>
      </c>
      <c r="G282">
        <f t="shared" si="31"/>
        <v>15701.474744759675</v>
      </c>
      <c r="H282" s="3">
        <f t="shared" si="29"/>
        <v>8.9949026005342603E-10</v>
      </c>
      <c r="I282" s="3">
        <f t="shared" si="30"/>
        <v>439999.99999999895</v>
      </c>
    </row>
    <row r="283" spans="1:9" x14ac:dyDescent="0.25">
      <c r="A283" t="str">
        <f t="shared" si="32"/>
        <v/>
      </c>
      <c r="D283" s="3">
        <f>H282*Sheet1!$C$5/12</f>
        <v>6.3713893420451022E-12</v>
      </c>
      <c r="E283" s="3">
        <f>IF(H282&lt;0.01,0,Sheet1!$C$6-D283)</f>
        <v>0</v>
      </c>
      <c r="F283" s="3">
        <f t="shared" si="28"/>
        <v>557078.78395859152</v>
      </c>
      <c r="G283">
        <f t="shared" si="31"/>
        <v>15701.474744759675</v>
      </c>
      <c r="H283" s="3">
        <f t="shared" si="29"/>
        <v>8.9949026005342603E-10</v>
      </c>
      <c r="I283" s="3">
        <f t="shared" si="30"/>
        <v>439999.99999999895</v>
      </c>
    </row>
    <row r="284" spans="1:9" x14ac:dyDescent="0.25">
      <c r="A284" t="str">
        <f t="shared" si="32"/>
        <v/>
      </c>
      <c r="D284" s="3">
        <f>H283*Sheet1!$C$5/12</f>
        <v>6.3713893420451022E-12</v>
      </c>
      <c r="E284" s="3">
        <f>IF(H283&lt;0.01,0,Sheet1!$C$6-D284)</f>
        <v>0</v>
      </c>
      <c r="F284" s="3">
        <f t="shared" si="28"/>
        <v>557078.78395859152</v>
      </c>
      <c r="G284">
        <f t="shared" si="31"/>
        <v>15701.474744759675</v>
      </c>
      <c r="H284" s="3">
        <f t="shared" si="29"/>
        <v>8.9949026005342603E-10</v>
      </c>
      <c r="I284" s="3">
        <f t="shared" si="30"/>
        <v>439999.99999999895</v>
      </c>
    </row>
    <row r="285" spans="1:9" x14ac:dyDescent="0.25">
      <c r="A285" t="str">
        <f t="shared" si="32"/>
        <v/>
      </c>
      <c r="D285" s="3">
        <f>H284*Sheet1!$C$5/12</f>
        <v>6.3713893420451022E-12</v>
      </c>
      <c r="E285" s="3">
        <f>IF(H284&lt;0.01,0,Sheet1!$C$6-D285)</f>
        <v>0</v>
      </c>
      <c r="F285" s="3">
        <f t="shared" si="28"/>
        <v>557078.78395859152</v>
      </c>
      <c r="G285">
        <f t="shared" si="31"/>
        <v>15701.474744759675</v>
      </c>
      <c r="H285" s="3">
        <f t="shared" si="29"/>
        <v>8.9949026005342603E-10</v>
      </c>
      <c r="I285" s="3">
        <f t="shared" si="30"/>
        <v>439999.99999999895</v>
      </c>
    </row>
    <row r="286" spans="1:9" x14ac:dyDescent="0.25">
      <c r="A286" t="str">
        <f t="shared" si="32"/>
        <v/>
      </c>
      <c r="D286" s="3">
        <f>H285*Sheet1!$C$5/12</f>
        <v>6.3713893420451022E-12</v>
      </c>
      <c r="E286" s="3">
        <f>IF(H285&lt;0.01,0,Sheet1!$C$6-D286)</f>
        <v>0</v>
      </c>
      <c r="F286" s="3">
        <f t="shared" si="28"/>
        <v>557078.78395859152</v>
      </c>
      <c r="G286">
        <f t="shared" si="31"/>
        <v>15701.474744759675</v>
      </c>
      <c r="H286" s="3">
        <f t="shared" si="29"/>
        <v>8.9949026005342603E-10</v>
      </c>
      <c r="I286" s="3">
        <f t="shared" si="30"/>
        <v>439999.99999999895</v>
      </c>
    </row>
    <row r="287" spans="1:9" x14ac:dyDescent="0.25">
      <c r="A287" t="str">
        <f t="shared" si="32"/>
        <v/>
      </c>
      <c r="D287" s="3">
        <f>H286*Sheet1!$C$5/12</f>
        <v>6.3713893420451022E-12</v>
      </c>
      <c r="E287" s="3">
        <f>IF(H286&lt;0.01,0,Sheet1!$C$6-D287)</f>
        <v>0</v>
      </c>
      <c r="F287" s="3">
        <f t="shared" si="28"/>
        <v>557078.78395859152</v>
      </c>
      <c r="G287">
        <f t="shared" si="31"/>
        <v>15701.474744759675</v>
      </c>
      <c r="H287" s="3">
        <f t="shared" si="29"/>
        <v>8.9949026005342603E-10</v>
      </c>
      <c r="I287" s="3">
        <f t="shared" si="30"/>
        <v>439999.99999999895</v>
      </c>
    </row>
    <row r="288" spans="1:9" x14ac:dyDescent="0.25">
      <c r="A288" t="str">
        <f t="shared" si="32"/>
        <v/>
      </c>
      <c r="D288" s="3">
        <f>H287*Sheet1!$C$5/12</f>
        <v>6.3713893420451022E-12</v>
      </c>
      <c r="E288" s="3">
        <f>IF(H287&lt;0.01,0,Sheet1!$C$6-D288)</f>
        <v>0</v>
      </c>
      <c r="F288" s="3">
        <f t="shared" si="28"/>
        <v>557078.78395859152</v>
      </c>
      <c r="G288">
        <f t="shared" si="31"/>
        <v>15701.474744759675</v>
      </c>
      <c r="H288" s="3">
        <f t="shared" si="29"/>
        <v>8.9949026005342603E-10</v>
      </c>
      <c r="I288" s="3">
        <f t="shared" si="30"/>
        <v>439999.99999999895</v>
      </c>
    </row>
    <row r="289" spans="1:9" x14ac:dyDescent="0.25">
      <c r="A289" t="str">
        <f t="shared" si="32"/>
        <v/>
      </c>
      <c r="D289" s="3">
        <f>H288*Sheet1!$C$5/12</f>
        <v>6.3713893420451022E-12</v>
      </c>
      <c r="E289" s="3">
        <f>IF(H288&lt;0.01,0,Sheet1!$C$6-D289)</f>
        <v>0</v>
      </c>
      <c r="F289" s="3">
        <f t="shared" si="28"/>
        <v>557078.78395859152</v>
      </c>
      <c r="G289">
        <f t="shared" si="31"/>
        <v>15701.474744759675</v>
      </c>
      <c r="H289" s="3">
        <f t="shared" si="29"/>
        <v>8.9949026005342603E-10</v>
      </c>
      <c r="I289" s="3">
        <f t="shared" si="30"/>
        <v>439999.99999999895</v>
      </c>
    </row>
    <row r="290" spans="1:9" x14ac:dyDescent="0.25">
      <c r="A290" t="str">
        <f t="shared" si="32"/>
        <v/>
      </c>
      <c r="D290" s="3">
        <f>H289*Sheet1!$C$5/12</f>
        <v>6.3713893420451022E-12</v>
      </c>
      <c r="E290" s="3">
        <f>IF(H289&lt;0.01,0,Sheet1!$C$6-D290)</f>
        <v>0</v>
      </c>
      <c r="F290" s="3">
        <f t="shared" si="28"/>
        <v>557078.78395859152</v>
      </c>
      <c r="G290">
        <f t="shared" si="31"/>
        <v>15701.474744759675</v>
      </c>
      <c r="H290" s="3">
        <f t="shared" si="29"/>
        <v>8.9949026005342603E-10</v>
      </c>
      <c r="I290" s="3">
        <f t="shared" si="30"/>
        <v>439999.99999999895</v>
      </c>
    </row>
    <row r="291" spans="1:9" x14ac:dyDescent="0.25">
      <c r="A291" t="str">
        <f t="shared" si="32"/>
        <v/>
      </c>
      <c r="D291" s="3">
        <f>H290*Sheet1!$C$5/12</f>
        <v>6.3713893420451022E-12</v>
      </c>
      <c r="E291" s="3">
        <f>IF(H290&lt;0.01,0,Sheet1!$C$6-D291)</f>
        <v>0</v>
      </c>
      <c r="F291" s="3">
        <f t="shared" si="28"/>
        <v>557078.78395859152</v>
      </c>
      <c r="G291">
        <f t="shared" si="31"/>
        <v>15701.474744759675</v>
      </c>
      <c r="H291" s="3">
        <f t="shared" si="29"/>
        <v>8.9949026005342603E-10</v>
      </c>
      <c r="I291" s="3">
        <f t="shared" si="30"/>
        <v>439999.99999999895</v>
      </c>
    </row>
    <row r="292" spans="1:9" x14ac:dyDescent="0.25">
      <c r="A292" t="str">
        <f t="shared" si="32"/>
        <v/>
      </c>
      <c r="D292" s="3">
        <f>H291*Sheet1!$C$5/12</f>
        <v>6.3713893420451022E-12</v>
      </c>
      <c r="E292" s="3">
        <f>IF(H291&lt;0.01,0,Sheet1!$C$6-D292)</f>
        <v>0</v>
      </c>
      <c r="F292" s="3">
        <f t="shared" si="28"/>
        <v>557078.78395859152</v>
      </c>
      <c r="G292">
        <f t="shared" si="31"/>
        <v>15701.474744759675</v>
      </c>
      <c r="H292" s="3">
        <f t="shared" si="29"/>
        <v>8.9949026005342603E-10</v>
      </c>
      <c r="I292" s="3">
        <f t="shared" si="30"/>
        <v>439999.99999999895</v>
      </c>
    </row>
    <row r="293" spans="1:9" x14ac:dyDescent="0.25">
      <c r="A293" t="str">
        <f t="shared" si="32"/>
        <v/>
      </c>
      <c r="D293" s="3">
        <f>H292*Sheet1!$C$5/12</f>
        <v>6.3713893420451022E-12</v>
      </c>
      <c r="E293" s="3">
        <f>IF(H292&lt;0.01,0,Sheet1!$C$6-D293)</f>
        <v>0</v>
      </c>
      <c r="F293" s="3">
        <f t="shared" si="28"/>
        <v>557078.78395859152</v>
      </c>
      <c r="G293">
        <f t="shared" si="31"/>
        <v>15701.474744759675</v>
      </c>
      <c r="H293" s="3">
        <f t="shared" si="29"/>
        <v>8.9949026005342603E-10</v>
      </c>
      <c r="I293" s="3">
        <f t="shared" si="30"/>
        <v>439999.99999999895</v>
      </c>
    </row>
    <row r="294" spans="1:9" x14ac:dyDescent="0.25">
      <c r="A294" t="str">
        <f t="shared" si="32"/>
        <v/>
      </c>
      <c r="D294" s="3">
        <f>H293*Sheet1!$C$5/12</f>
        <v>6.3713893420451022E-12</v>
      </c>
      <c r="E294" s="3">
        <f>IF(H293&lt;0.01,0,Sheet1!$C$6-D294)</f>
        <v>0</v>
      </c>
      <c r="F294" s="3">
        <f t="shared" si="28"/>
        <v>557078.78395859152</v>
      </c>
      <c r="G294">
        <f t="shared" si="31"/>
        <v>15701.474744759675</v>
      </c>
      <c r="H294" s="3">
        <f t="shared" si="29"/>
        <v>8.9949026005342603E-10</v>
      </c>
      <c r="I294" s="3">
        <f t="shared" si="30"/>
        <v>439999.99999999895</v>
      </c>
    </row>
    <row r="295" spans="1:9" x14ac:dyDescent="0.25">
      <c r="A295" t="str">
        <f t="shared" si="32"/>
        <v/>
      </c>
      <c r="D295" s="3">
        <f>H294*Sheet1!$C$5/12</f>
        <v>6.3713893420451022E-12</v>
      </c>
      <c r="E295" s="3">
        <f>IF(H294&lt;0.01,0,Sheet1!$C$6-D295)</f>
        <v>0</v>
      </c>
      <c r="F295" s="3">
        <f t="shared" si="28"/>
        <v>557078.78395859152</v>
      </c>
      <c r="G295">
        <f t="shared" si="31"/>
        <v>15701.474744759675</v>
      </c>
      <c r="H295" s="3">
        <f t="shared" si="29"/>
        <v>8.9949026005342603E-10</v>
      </c>
      <c r="I295" s="3">
        <f t="shared" si="30"/>
        <v>439999.99999999895</v>
      </c>
    </row>
    <row r="296" spans="1:9" x14ac:dyDescent="0.25">
      <c r="A296" t="str">
        <f t="shared" si="32"/>
        <v/>
      </c>
      <c r="D296" s="3">
        <f>H295*Sheet1!$C$5/12</f>
        <v>6.3713893420451022E-12</v>
      </c>
      <c r="E296" s="3">
        <f>IF(H295&lt;0.01,0,Sheet1!$C$6-D296)</f>
        <v>0</v>
      </c>
      <c r="F296" s="3">
        <f t="shared" si="28"/>
        <v>557078.78395859152</v>
      </c>
      <c r="G296">
        <f t="shared" si="31"/>
        <v>15701.474744759675</v>
      </c>
      <c r="H296" s="3">
        <f t="shared" si="29"/>
        <v>8.9949026005342603E-10</v>
      </c>
      <c r="I296" s="3">
        <f t="shared" si="30"/>
        <v>439999.99999999895</v>
      </c>
    </row>
    <row r="297" spans="1:9" x14ac:dyDescent="0.25">
      <c r="A297" t="str">
        <f t="shared" si="32"/>
        <v/>
      </c>
      <c r="D297" s="3">
        <f>H296*Sheet1!$C$5/12</f>
        <v>6.3713893420451022E-12</v>
      </c>
      <c r="E297" s="3">
        <f>IF(H296&lt;0.01,0,Sheet1!$C$6-D297)</f>
        <v>0</v>
      </c>
      <c r="F297" s="3">
        <f t="shared" si="28"/>
        <v>557078.78395859152</v>
      </c>
      <c r="G297">
        <f t="shared" si="31"/>
        <v>15701.474744759675</v>
      </c>
      <c r="H297" s="3">
        <f t="shared" si="29"/>
        <v>8.9949026005342603E-10</v>
      </c>
      <c r="I297" s="3">
        <f t="shared" si="30"/>
        <v>439999.99999999895</v>
      </c>
    </row>
    <row r="298" spans="1:9" x14ac:dyDescent="0.25">
      <c r="A298" t="str">
        <f t="shared" si="32"/>
        <v/>
      </c>
      <c r="D298" s="3">
        <f>H297*Sheet1!$C$5/12</f>
        <v>6.3713893420451022E-12</v>
      </c>
      <c r="E298" s="3">
        <f>IF(H297&lt;0.01,0,Sheet1!$C$6-D298)</f>
        <v>0</v>
      </c>
      <c r="F298" s="3">
        <f t="shared" si="28"/>
        <v>557078.78395859152</v>
      </c>
      <c r="G298">
        <f t="shared" si="31"/>
        <v>15701.474744759675</v>
      </c>
      <c r="H298" s="3">
        <f t="shared" si="29"/>
        <v>8.9949026005342603E-10</v>
      </c>
      <c r="I298" s="3">
        <f t="shared" si="30"/>
        <v>439999.99999999895</v>
      </c>
    </row>
    <row r="299" spans="1:9" x14ac:dyDescent="0.25">
      <c r="A299" t="str">
        <f t="shared" si="32"/>
        <v/>
      </c>
      <c r="D299" s="3">
        <f>H298*Sheet1!$C$5/12</f>
        <v>6.3713893420451022E-12</v>
      </c>
      <c r="E299" s="3">
        <f>IF(H298&lt;0.01,0,Sheet1!$C$6-D299)</f>
        <v>0</v>
      </c>
      <c r="F299" s="3">
        <f t="shared" si="28"/>
        <v>557078.78395859152</v>
      </c>
      <c r="G299">
        <f t="shared" si="31"/>
        <v>15701.474744759675</v>
      </c>
      <c r="H299" s="3">
        <f t="shared" si="29"/>
        <v>8.9949026005342603E-10</v>
      </c>
      <c r="I299" s="3">
        <f t="shared" si="30"/>
        <v>439999.99999999895</v>
      </c>
    </row>
    <row r="300" spans="1:9" x14ac:dyDescent="0.25">
      <c r="A300" t="str">
        <f t="shared" si="32"/>
        <v/>
      </c>
      <c r="D300" s="3">
        <f>H299*Sheet1!$C$5/12</f>
        <v>6.3713893420451022E-12</v>
      </c>
      <c r="E300" s="3">
        <f>IF(H299&lt;0.01,0,Sheet1!$C$6-D300)</f>
        <v>0</v>
      </c>
      <c r="F300" s="3">
        <f t="shared" si="28"/>
        <v>557078.78395859152</v>
      </c>
      <c r="G300">
        <f t="shared" si="31"/>
        <v>15701.474744759675</v>
      </c>
      <c r="H300" s="3">
        <f t="shared" si="29"/>
        <v>8.9949026005342603E-10</v>
      </c>
      <c r="I300" s="3">
        <f t="shared" si="30"/>
        <v>439999.99999999895</v>
      </c>
    </row>
    <row r="301" spans="1:9" x14ac:dyDescent="0.25">
      <c r="A301" t="str">
        <f t="shared" si="32"/>
        <v/>
      </c>
      <c r="D301" s="3">
        <f>H300*Sheet1!$C$5/12</f>
        <v>6.3713893420451022E-12</v>
      </c>
      <c r="E301" s="3">
        <f>IF(H300&lt;0.01,0,Sheet1!$C$6-D301)</f>
        <v>0</v>
      </c>
      <c r="F301" s="3">
        <f t="shared" si="28"/>
        <v>557078.78395859152</v>
      </c>
      <c r="G301">
        <f t="shared" si="31"/>
        <v>15701.474744759675</v>
      </c>
      <c r="H301" s="3">
        <f t="shared" si="29"/>
        <v>8.9949026005342603E-10</v>
      </c>
      <c r="I301" s="3">
        <f t="shared" si="30"/>
        <v>439999.99999999895</v>
      </c>
    </row>
    <row r="302" spans="1:9" x14ac:dyDescent="0.25">
      <c r="A302" t="str">
        <f t="shared" si="32"/>
        <v/>
      </c>
      <c r="D302" s="3">
        <f>H301*Sheet1!$C$5/12</f>
        <v>6.3713893420451022E-12</v>
      </c>
      <c r="E302" s="3">
        <f>IF(H301&lt;0.01,0,Sheet1!$C$6-D302)</f>
        <v>0</v>
      </c>
      <c r="F302" s="3">
        <f t="shared" si="28"/>
        <v>557078.78395859152</v>
      </c>
      <c r="G302">
        <f t="shared" si="31"/>
        <v>15701.474744759675</v>
      </c>
      <c r="H302" s="3">
        <f t="shared" si="29"/>
        <v>8.9949026005342603E-10</v>
      </c>
      <c r="I302" s="3">
        <f t="shared" si="30"/>
        <v>439999.99999999895</v>
      </c>
    </row>
    <row r="303" spans="1:9" x14ac:dyDescent="0.25">
      <c r="A303" t="str">
        <f t="shared" si="32"/>
        <v/>
      </c>
      <c r="D303" s="3">
        <f>H302*Sheet1!$C$5/12</f>
        <v>6.3713893420451022E-12</v>
      </c>
      <c r="E303" s="3">
        <f>IF(H302&lt;0.01,0,Sheet1!$C$6-D303)</f>
        <v>0</v>
      </c>
      <c r="F303" s="3">
        <f t="shared" si="28"/>
        <v>557078.78395859152</v>
      </c>
      <c r="G303">
        <f t="shared" si="31"/>
        <v>15701.474744759675</v>
      </c>
      <c r="H303" s="3">
        <f t="shared" si="29"/>
        <v>8.9949026005342603E-10</v>
      </c>
      <c r="I303" s="3">
        <f t="shared" si="30"/>
        <v>439999.99999999895</v>
      </c>
    </row>
    <row r="304" spans="1:9" x14ac:dyDescent="0.25">
      <c r="A304" t="str">
        <f t="shared" si="32"/>
        <v/>
      </c>
      <c r="D304" s="3">
        <f>H303*Sheet1!$C$5/12</f>
        <v>6.3713893420451022E-12</v>
      </c>
      <c r="E304" s="3">
        <f>IF(H303&lt;0.01,0,Sheet1!$C$6-D304)</f>
        <v>0</v>
      </c>
      <c r="F304" s="3">
        <f t="shared" si="28"/>
        <v>557078.78395859152</v>
      </c>
      <c r="G304">
        <f t="shared" si="31"/>
        <v>15701.474744759675</v>
      </c>
      <c r="H304" s="3">
        <f t="shared" si="29"/>
        <v>8.9949026005342603E-10</v>
      </c>
      <c r="I304" s="3">
        <f t="shared" si="30"/>
        <v>439999.99999999895</v>
      </c>
    </row>
    <row r="305" spans="1:9" x14ac:dyDescent="0.25">
      <c r="A305" t="str">
        <f t="shared" si="32"/>
        <v/>
      </c>
      <c r="D305" s="3">
        <f>H304*Sheet1!$C$5/12</f>
        <v>6.3713893420451022E-12</v>
      </c>
      <c r="E305" s="3">
        <f>IF(H304&lt;0.01,0,Sheet1!$C$6-D305)</f>
        <v>0</v>
      </c>
      <c r="F305" s="3">
        <f t="shared" si="28"/>
        <v>557078.78395859152</v>
      </c>
      <c r="G305">
        <f t="shared" si="31"/>
        <v>15701.474744759675</v>
      </c>
      <c r="H305" s="3">
        <f t="shared" si="29"/>
        <v>8.9949026005342603E-10</v>
      </c>
      <c r="I305" s="3">
        <f t="shared" si="30"/>
        <v>439999.99999999895</v>
      </c>
    </row>
    <row r="306" spans="1:9" x14ac:dyDescent="0.25">
      <c r="A306" t="str">
        <f t="shared" si="32"/>
        <v/>
      </c>
      <c r="D306" s="3">
        <f>H305*Sheet1!$C$5/12</f>
        <v>6.3713893420451022E-12</v>
      </c>
      <c r="E306" s="3">
        <f>IF(H305&lt;0.01,0,Sheet1!$C$6-D306)</f>
        <v>0</v>
      </c>
      <c r="F306" s="3">
        <f t="shared" si="28"/>
        <v>557078.78395859152</v>
      </c>
      <c r="G306">
        <f t="shared" si="31"/>
        <v>15701.474744759675</v>
      </c>
      <c r="H306" s="3">
        <f t="shared" si="29"/>
        <v>8.9949026005342603E-10</v>
      </c>
      <c r="I306" s="3">
        <f t="shared" si="30"/>
        <v>439999.99999999895</v>
      </c>
    </row>
    <row r="307" spans="1:9" x14ac:dyDescent="0.25">
      <c r="A307" t="str">
        <f t="shared" si="32"/>
        <v/>
      </c>
      <c r="D307" s="3">
        <f>H306*Sheet1!$C$5/12</f>
        <v>6.3713893420451022E-12</v>
      </c>
      <c r="E307" s="3">
        <f>IF(H306&lt;0.01,0,Sheet1!$C$6-D307)</f>
        <v>0</v>
      </c>
      <c r="F307" s="3">
        <f t="shared" ref="F307:F362" si="33">F306+D307+E307</f>
        <v>557078.78395859152</v>
      </c>
      <c r="G307">
        <f t="shared" si="31"/>
        <v>15701.474744759675</v>
      </c>
      <c r="H307" s="3">
        <f t="shared" ref="H307:H362" si="34">H306-E307</f>
        <v>8.9949026005342603E-10</v>
      </c>
      <c r="I307" s="3">
        <f t="shared" ref="I307:I362" si="35">E307+I306</f>
        <v>439999.99999999895</v>
      </c>
    </row>
    <row r="308" spans="1:9" x14ac:dyDescent="0.25">
      <c r="A308" t="str">
        <f t="shared" si="32"/>
        <v/>
      </c>
      <c r="D308" s="3">
        <f>H307*Sheet1!$C$5/12</f>
        <v>6.3713893420451022E-12</v>
      </c>
      <c r="E308" s="3">
        <f>IF(H307&lt;0.01,0,Sheet1!$C$6-D308)</f>
        <v>0</v>
      </c>
      <c r="F308" s="3">
        <f t="shared" si="33"/>
        <v>557078.78395859152</v>
      </c>
      <c r="G308">
        <f t="shared" si="31"/>
        <v>15701.474744759675</v>
      </c>
      <c r="H308" s="3">
        <f t="shared" si="34"/>
        <v>8.9949026005342603E-10</v>
      </c>
      <c r="I308" s="3">
        <f t="shared" si="35"/>
        <v>439999.99999999895</v>
      </c>
    </row>
    <row r="309" spans="1:9" x14ac:dyDescent="0.25">
      <c r="A309" t="str">
        <f t="shared" si="32"/>
        <v/>
      </c>
      <c r="D309" s="3">
        <f>H308*Sheet1!$C$5/12</f>
        <v>6.3713893420451022E-12</v>
      </c>
      <c r="E309" s="3">
        <f>IF(H308&lt;0.01,0,Sheet1!$C$6-D309)</f>
        <v>0</v>
      </c>
      <c r="F309" s="3">
        <f t="shared" si="33"/>
        <v>557078.78395859152</v>
      </c>
      <c r="G309">
        <f t="shared" si="31"/>
        <v>15701.474744759675</v>
      </c>
      <c r="H309" s="3">
        <f t="shared" si="34"/>
        <v>8.9949026005342603E-10</v>
      </c>
      <c r="I309" s="3">
        <f t="shared" si="35"/>
        <v>439999.99999999895</v>
      </c>
    </row>
    <row r="310" spans="1:9" x14ac:dyDescent="0.25">
      <c r="A310" t="str">
        <f t="shared" si="32"/>
        <v/>
      </c>
      <c r="D310" s="3">
        <f>H309*Sheet1!$C$5/12</f>
        <v>6.3713893420451022E-12</v>
      </c>
      <c r="E310" s="3">
        <f>IF(H309&lt;0.01,0,Sheet1!$C$6-D310)</f>
        <v>0</v>
      </c>
      <c r="F310" s="3">
        <f t="shared" si="33"/>
        <v>557078.78395859152</v>
      </c>
      <c r="G310">
        <f t="shared" si="31"/>
        <v>15701.474744759675</v>
      </c>
      <c r="H310" s="3">
        <f t="shared" si="34"/>
        <v>8.9949026005342603E-10</v>
      </c>
      <c r="I310" s="3">
        <f t="shared" si="35"/>
        <v>439999.99999999895</v>
      </c>
    </row>
    <row r="311" spans="1:9" x14ac:dyDescent="0.25">
      <c r="A311" t="str">
        <f t="shared" si="32"/>
        <v/>
      </c>
      <c r="D311" s="3">
        <f>H310*Sheet1!$C$5/12</f>
        <v>6.3713893420451022E-12</v>
      </c>
      <c r="E311" s="3">
        <f>IF(H310&lt;0.01,0,Sheet1!$C$6-D311)</f>
        <v>0</v>
      </c>
      <c r="F311" s="3">
        <f t="shared" si="33"/>
        <v>557078.78395859152</v>
      </c>
      <c r="G311">
        <f t="shared" si="31"/>
        <v>15701.474744759675</v>
      </c>
      <c r="H311" s="3">
        <f t="shared" si="34"/>
        <v>8.9949026005342603E-10</v>
      </c>
      <c r="I311" s="3">
        <f t="shared" si="35"/>
        <v>439999.99999999895</v>
      </c>
    </row>
    <row r="312" spans="1:9" x14ac:dyDescent="0.25">
      <c r="A312" t="str">
        <f t="shared" si="32"/>
        <v/>
      </c>
      <c r="D312" s="3">
        <f>H311*Sheet1!$C$5/12</f>
        <v>6.3713893420451022E-12</v>
      </c>
      <c r="E312" s="3">
        <f>IF(H311&lt;0.01,0,Sheet1!$C$6-D312)</f>
        <v>0</v>
      </c>
      <c r="F312" s="3">
        <f t="shared" si="33"/>
        <v>557078.78395859152</v>
      </c>
      <c r="G312">
        <f t="shared" si="31"/>
        <v>15701.474744759675</v>
      </c>
      <c r="H312" s="3">
        <f t="shared" si="34"/>
        <v>8.9949026005342603E-10</v>
      </c>
      <c r="I312" s="3">
        <f t="shared" si="35"/>
        <v>439999.99999999895</v>
      </c>
    </row>
    <row r="313" spans="1:9" x14ac:dyDescent="0.25">
      <c r="A313" t="str">
        <f t="shared" si="32"/>
        <v/>
      </c>
      <c r="D313" s="3">
        <f>H312*Sheet1!$C$5/12</f>
        <v>6.3713893420451022E-12</v>
      </c>
      <c r="E313" s="3">
        <f>IF(H312&lt;0.01,0,Sheet1!$C$6-D313)</f>
        <v>0</v>
      </c>
      <c r="F313" s="3">
        <f t="shared" si="33"/>
        <v>557078.78395859152</v>
      </c>
      <c r="G313">
        <f t="shared" si="31"/>
        <v>15701.474744759675</v>
      </c>
      <c r="H313" s="3">
        <f t="shared" si="34"/>
        <v>8.9949026005342603E-10</v>
      </c>
      <c r="I313" s="3">
        <f t="shared" si="35"/>
        <v>439999.99999999895</v>
      </c>
    </row>
    <row r="314" spans="1:9" x14ac:dyDescent="0.25">
      <c r="A314" t="str">
        <f t="shared" si="32"/>
        <v/>
      </c>
      <c r="D314" s="3">
        <f>H313*Sheet1!$C$5/12</f>
        <v>6.3713893420451022E-12</v>
      </c>
      <c r="E314" s="3">
        <f>IF(H313&lt;0.01,0,Sheet1!$C$6-D314)</f>
        <v>0</v>
      </c>
      <c r="F314" s="3">
        <f t="shared" si="33"/>
        <v>557078.78395859152</v>
      </c>
      <c r="G314">
        <f t="shared" si="31"/>
        <v>15701.474744759675</v>
      </c>
      <c r="H314" s="3">
        <f t="shared" si="34"/>
        <v>8.9949026005342603E-10</v>
      </c>
      <c r="I314" s="3">
        <f t="shared" si="35"/>
        <v>439999.99999999895</v>
      </c>
    </row>
    <row r="315" spans="1:9" x14ac:dyDescent="0.25">
      <c r="A315" t="str">
        <f t="shared" si="32"/>
        <v/>
      </c>
      <c r="D315" s="3">
        <f>H314*Sheet1!$C$5/12</f>
        <v>6.3713893420451022E-12</v>
      </c>
      <c r="E315" s="3">
        <f>IF(H314&lt;0.01,0,Sheet1!$C$6-D315)</f>
        <v>0</v>
      </c>
      <c r="F315" s="3">
        <f t="shared" si="33"/>
        <v>557078.78395859152</v>
      </c>
      <c r="G315">
        <f t="shared" si="31"/>
        <v>15701.474744759675</v>
      </c>
      <c r="H315" s="3">
        <f t="shared" si="34"/>
        <v>8.9949026005342603E-10</v>
      </c>
      <c r="I315" s="3">
        <f t="shared" si="35"/>
        <v>439999.99999999895</v>
      </c>
    </row>
    <row r="316" spans="1:9" x14ac:dyDescent="0.25">
      <c r="A316" t="str">
        <f t="shared" si="32"/>
        <v/>
      </c>
      <c r="D316" s="3">
        <f>H315*Sheet1!$C$5/12</f>
        <v>6.3713893420451022E-12</v>
      </c>
      <c r="E316" s="3">
        <f>IF(H315&lt;0.01,0,Sheet1!$C$6-D316)</f>
        <v>0</v>
      </c>
      <c r="F316" s="3">
        <f t="shared" si="33"/>
        <v>557078.78395859152</v>
      </c>
      <c r="G316">
        <f t="shared" si="31"/>
        <v>15701.474744759675</v>
      </c>
      <c r="H316" s="3">
        <f t="shared" si="34"/>
        <v>8.9949026005342603E-10</v>
      </c>
      <c r="I316" s="3">
        <f t="shared" si="35"/>
        <v>439999.99999999895</v>
      </c>
    </row>
    <row r="317" spans="1:9" x14ac:dyDescent="0.25">
      <c r="A317" t="str">
        <f t="shared" si="32"/>
        <v/>
      </c>
      <c r="D317" s="3">
        <f>H316*Sheet1!$C$5/12</f>
        <v>6.3713893420451022E-12</v>
      </c>
      <c r="E317" s="3">
        <f>IF(H316&lt;0.01,0,Sheet1!$C$6-D317)</f>
        <v>0</v>
      </c>
      <c r="F317" s="3">
        <f t="shared" si="33"/>
        <v>557078.78395859152</v>
      </c>
      <c r="G317">
        <f t="shared" si="31"/>
        <v>15701.474744759675</v>
      </c>
      <c r="H317" s="3">
        <f t="shared" si="34"/>
        <v>8.9949026005342603E-10</v>
      </c>
      <c r="I317" s="3">
        <f t="shared" si="35"/>
        <v>439999.99999999895</v>
      </c>
    </row>
    <row r="318" spans="1:9" x14ac:dyDescent="0.25">
      <c r="A318" t="str">
        <f t="shared" si="32"/>
        <v/>
      </c>
      <c r="D318" s="3">
        <f>H317*Sheet1!$C$5/12</f>
        <v>6.3713893420451022E-12</v>
      </c>
      <c r="E318" s="3">
        <f>IF(H317&lt;0.01,0,Sheet1!$C$6-D318)</f>
        <v>0</v>
      </c>
      <c r="F318" s="3">
        <f t="shared" si="33"/>
        <v>557078.78395859152</v>
      </c>
      <c r="G318">
        <f t="shared" si="31"/>
        <v>15701.474744759675</v>
      </c>
      <c r="H318" s="3">
        <f t="shared" si="34"/>
        <v>8.9949026005342603E-10</v>
      </c>
      <c r="I318" s="3">
        <f t="shared" si="35"/>
        <v>439999.99999999895</v>
      </c>
    </row>
    <row r="319" spans="1:9" x14ac:dyDescent="0.25">
      <c r="A319" t="str">
        <f t="shared" si="32"/>
        <v/>
      </c>
      <c r="D319" s="3">
        <f>H318*Sheet1!$C$5/12</f>
        <v>6.3713893420451022E-12</v>
      </c>
      <c r="E319" s="3">
        <f>IF(H318&lt;0.01,0,Sheet1!$C$6-D319)</f>
        <v>0</v>
      </c>
      <c r="F319" s="3">
        <f t="shared" si="33"/>
        <v>557078.78395859152</v>
      </c>
      <c r="G319">
        <f t="shared" si="31"/>
        <v>15701.474744759675</v>
      </c>
      <c r="H319" s="3">
        <f t="shared" si="34"/>
        <v>8.9949026005342603E-10</v>
      </c>
      <c r="I319" s="3">
        <f t="shared" si="35"/>
        <v>439999.99999999895</v>
      </c>
    </row>
    <row r="320" spans="1:9" x14ac:dyDescent="0.25">
      <c r="A320" t="str">
        <f t="shared" si="32"/>
        <v/>
      </c>
      <c r="D320" s="3">
        <f>H319*Sheet1!$C$5/12</f>
        <v>6.3713893420451022E-12</v>
      </c>
      <c r="E320" s="3">
        <f>IF(H319&lt;0.01,0,Sheet1!$C$6-D320)</f>
        <v>0</v>
      </c>
      <c r="F320" s="3">
        <f t="shared" si="33"/>
        <v>557078.78395859152</v>
      </c>
      <c r="G320">
        <f t="shared" si="31"/>
        <v>15701.474744759675</v>
      </c>
      <c r="H320" s="3">
        <f t="shared" si="34"/>
        <v>8.9949026005342603E-10</v>
      </c>
      <c r="I320" s="3">
        <f t="shared" si="35"/>
        <v>439999.99999999895</v>
      </c>
    </row>
    <row r="321" spans="1:9" x14ac:dyDescent="0.25">
      <c r="A321" t="str">
        <f t="shared" si="32"/>
        <v/>
      </c>
      <c r="D321" s="3">
        <f>H320*Sheet1!$C$5/12</f>
        <v>6.3713893420451022E-12</v>
      </c>
      <c r="E321" s="3">
        <f>IF(H320&lt;0.01,0,Sheet1!$C$6-D321)</f>
        <v>0</v>
      </c>
      <c r="F321" s="3">
        <f t="shared" si="33"/>
        <v>557078.78395859152</v>
      </c>
      <c r="G321">
        <f t="shared" si="31"/>
        <v>15701.474744759675</v>
      </c>
      <c r="H321" s="3">
        <f t="shared" si="34"/>
        <v>8.9949026005342603E-10</v>
      </c>
      <c r="I321" s="3">
        <f t="shared" si="35"/>
        <v>439999.99999999895</v>
      </c>
    </row>
    <row r="322" spans="1:9" x14ac:dyDescent="0.25">
      <c r="A322" t="str">
        <f t="shared" si="32"/>
        <v/>
      </c>
      <c r="D322" s="3">
        <f>H321*Sheet1!$C$5/12</f>
        <v>6.3713893420451022E-12</v>
      </c>
      <c r="E322" s="3">
        <f>IF(H321&lt;0.01,0,Sheet1!$C$6-D322)</f>
        <v>0</v>
      </c>
      <c r="F322" s="3">
        <f t="shared" si="33"/>
        <v>557078.78395859152</v>
      </c>
      <c r="G322">
        <f t="shared" si="31"/>
        <v>15701.474744759675</v>
      </c>
      <c r="H322" s="3">
        <f t="shared" si="34"/>
        <v>8.9949026005342603E-10</v>
      </c>
      <c r="I322" s="3">
        <f t="shared" si="35"/>
        <v>439999.99999999895</v>
      </c>
    </row>
    <row r="323" spans="1:9" x14ac:dyDescent="0.25">
      <c r="A323" t="str">
        <f t="shared" si="32"/>
        <v/>
      </c>
      <c r="D323" s="3">
        <f>H322*Sheet1!$C$5/12</f>
        <v>6.3713893420451022E-12</v>
      </c>
      <c r="E323" s="3">
        <f>IF(H322&lt;0.01,0,Sheet1!$C$6-D323)</f>
        <v>0</v>
      </c>
      <c r="F323" s="3">
        <f t="shared" si="33"/>
        <v>557078.78395859152</v>
      </c>
      <c r="G323">
        <f t="shared" ref="G323:G362" si="36">IFERROR(F323/(26.4*(1+3%)^A323),G322)</f>
        <v>15701.474744759675</v>
      </c>
      <c r="H323" s="3">
        <f t="shared" si="34"/>
        <v>8.9949026005342603E-10</v>
      </c>
      <c r="I323" s="3">
        <f t="shared" si="35"/>
        <v>439999.99999999895</v>
      </c>
    </row>
    <row r="324" spans="1:9" x14ac:dyDescent="0.25">
      <c r="A324" t="str">
        <f t="shared" si="32"/>
        <v/>
      </c>
      <c r="D324" s="3">
        <f>H323*Sheet1!$C$5/12</f>
        <v>6.3713893420451022E-12</v>
      </c>
      <c r="E324" s="3">
        <f>IF(H323&lt;0.01,0,Sheet1!$C$6-D324)</f>
        <v>0</v>
      </c>
      <c r="F324" s="3">
        <f t="shared" si="33"/>
        <v>557078.78395859152</v>
      </c>
      <c r="G324">
        <f t="shared" si="36"/>
        <v>15701.474744759675</v>
      </c>
      <c r="H324" s="3">
        <f t="shared" si="34"/>
        <v>8.9949026005342603E-10</v>
      </c>
      <c r="I324" s="3">
        <f t="shared" si="35"/>
        <v>439999.99999999895</v>
      </c>
    </row>
    <row r="325" spans="1:9" x14ac:dyDescent="0.25">
      <c r="A325" t="str">
        <f t="shared" si="32"/>
        <v/>
      </c>
      <c r="D325" s="3">
        <f>H324*Sheet1!$C$5/12</f>
        <v>6.3713893420451022E-12</v>
      </c>
      <c r="E325" s="3">
        <f>IF(H324&lt;0.01,0,Sheet1!$C$6-D325)</f>
        <v>0</v>
      </c>
      <c r="F325" s="3">
        <f t="shared" si="33"/>
        <v>557078.78395859152</v>
      </c>
      <c r="G325">
        <f t="shared" si="36"/>
        <v>15701.474744759675</v>
      </c>
      <c r="H325" s="3">
        <f t="shared" si="34"/>
        <v>8.9949026005342603E-10</v>
      </c>
      <c r="I325" s="3">
        <f t="shared" si="35"/>
        <v>439999.99999999895</v>
      </c>
    </row>
    <row r="326" spans="1:9" x14ac:dyDescent="0.25">
      <c r="A326" t="str">
        <f t="shared" si="32"/>
        <v/>
      </c>
      <c r="D326" s="3">
        <f>H325*Sheet1!$C$5/12</f>
        <v>6.3713893420451022E-12</v>
      </c>
      <c r="E326" s="3">
        <f>IF(H325&lt;0.01,0,Sheet1!$C$6-D326)</f>
        <v>0</v>
      </c>
      <c r="F326" s="3">
        <f t="shared" si="33"/>
        <v>557078.78395859152</v>
      </c>
      <c r="G326">
        <f t="shared" si="36"/>
        <v>15701.474744759675</v>
      </c>
      <c r="H326" s="3">
        <f t="shared" si="34"/>
        <v>8.9949026005342603E-10</v>
      </c>
      <c r="I326" s="3">
        <f t="shared" si="35"/>
        <v>439999.99999999895</v>
      </c>
    </row>
    <row r="327" spans="1:9" x14ac:dyDescent="0.25">
      <c r="A327" t="str">
        <f t="shared" si="32"/>
        <v/>
      </c>
      <c r="D327" s="3">
        <f>H326*Sheet1!$C$5/12</f>
        <v>6.3713893420451022E-12</v>
      </c>
      <c r="E327" s="3">
        <f>IF(H326&lt;0.01,0,Sheet1!$C$6-D327)</f>
        <v>0</v>
      </c>
      <c r="F327" s="3">
        <f t="shared" si="33"/>
        <v>557078.78395859152</v>
      </c>
      <c r="G327">
        <f t="shared" si="36"/>
        <v>15701.474744759675</v>
      </c>
      <c r="H327" s="3">
        <f t="shared" si="34"/>
        <v>8.9949026005342603E-10</v>
      </c>
      <c r="I327" s="3">
        <f t="shared" si="35"/>
        <v>439999.99999999895</v>
      </c>
    </row>
    <row r="328" spans="1:9" x14ac:dyDescent="0.25">
      <c r="A328" t="str">
        <f t="shared" si="32"/>
        <v/>
      </c>
      <c r="D328" s="3">
        <f>H327*Sheet1!$C$5/12</f>
        <v>6.3713893420451022E-12</v>
      </c>
      <c r="E328" s="3">
        <f>IF(H327&lt;0.01,0,Sheet1!$C$6-D328)</f>
        <v>0</v>
      </c>
      <c r="F328" s="3">
        <f t="shared" si="33"/>
        <v>557078.78395859152</v>
      </c>
      <c r="G328">
        <f t="shared" si="36"/>
        <v>15701.474744759675</v>
      </c>
      <c r="H328" s="3">
        <f t="shared" si="34"/>
        <v>8.9949026005342603E-10</v>
      </c>
      <c r="I328" s="3">
        <f t="shared" si="35"/>
        <v>439999.99999999895</v>
      </c>
    </row>
    <row r="329" spans="1:9" x14ac:dyDescent="0.25">
      <c r="A329" t="str">
        <f t="shared" si="32"/>
        <v/>
      </c>
      <c r="D329" s="3">
        <f>H328*Sheet1!$C$5/12</f>
        <v>6.3713893420451022E-12</v>
      </c>
      <c r="E329" s="3">
        <f>IF(H328&lt;0.01,0,Sheet1!$C$6-D329)</f>
        <v>0</v>
      </c>
      <c r="F329" s="3">
        <f t="shared" si="33"/>
        <v>557078.78395859152</v>
      </c>
      <c r="G329">
        <f t="shared" si="36"/>
        <v>15701.474744759675</v>
      </c>
      <c r="H329" s="3">
        <f t="shared" si="34"/>
        <v>8.9949026005342603E-10</v>
      </c>
      <c r="I329" s="3">
        <f t="shared" si="35"/>
        <v>439999.99999999895</v>
      </c>
    </row>
    <row r="330" spans="1:9" x14ac:dyDescent="0.25">
      <c r="A330" t="str">
        <f t="shared" si="32"/>
        <v/>
      </c>
      <c r="D330" s="3">
        <f>H329*Sheet1!$C$5/12</f>
        <v>6.3713893420451022E-12</v>
      </c>
      <c r="E330" s="3">
        <f>IF(H329&lt;0.01,0,Sheet1!$C$6-D330)</f>
        <v>0</v>
      </c>
      <c r="F330" s="3">
        <f t="shared" si="33"/>
        <v>557078.78395859152</v>
      </c>
      <c r="G330">
        <f t="shared" si="36"/>
        <v>15701.474744759675</v>
      </c>
      <c r="H330" s="3">
        <f t="shared" si="34"/>
        <v>8.9949026005342603E-10</v>
      </c>
      <c r="I330" s="3">
        <f t="shared" si="35"/>
        <v>439999.99999999895</v>
      </c>
    </row>
    <row r="331" spans="1:9" x14ac:dyDescent="0.25">
      <c r="A331" t="str">
        <f t="shared" si="32"/>
        <v/>
      </c>
      <c r="D331" s="3">
        <f>H330*Sheet1!$C$5/12</f>
        <v>6.3713893420451022E-12</v>
      </c>
      <c r="E331" s="3">
        <f>IF(H330&lt;0.01,0,Sheet1!$C$6-D331)</f>
        <v>0</v>
      </c>
      <c r="F331" s="3">
        <f t="shared" si="33"/>
        <v>557078.78395859152</v>
      </c>
      <c r="G331">
        <f t="shared" si="36"/>
        <v>15701.474744759675</v>
      </c>
      <c r="H331" s="3">
        <f t="shared" si="34"/>
        <v>8.9949026005342603E-10</v>
      </c>
      <c r="I331" s="3">
        <f t="shared" si="35"/>
        <v>439999.99999999895</v>
      </c>
    </row>
    <row r="332" spans="1:9" x14ac:dyDescent="0.25">
      <c r="A332" t="str">
        <f t="shared" si="32"/>
        <v/>
      </c>
      <c r="D332" s="3">
        <f>H331*Sheet1!$C$5/12</f>
        <v>6.3713893420451022E-12</v>
      </c>
      <c r="E332" s="3">
        <f>IF(H331&lt;0.01,0,Sheet1!$C$6-D332)</f>
        <v>0</v>
      </c>
      <c r="F332" s="3">
        <f t="shared" si="33"/>
        <v>557078.78395859152</v>
      </c>
      <c r="G332">
        <f t="shared" si="36"/>
        <v>15701.474744759675</v>
      </c>
      <c r="H332" s="3">
        <f t="shared" si="34"/>
        <v>8.9949026005342603E-10</v>
      </c>
      <c r="I332" s="3">
        <f t="shared" si="35"/>
        <v>439999.99999999895</v>
      </c>
    </row>
    <row r="333" spans="1:9" x14ac:dyDescent="0.25">
      <c r="A333" t="str">
        <f t="shared" si="32"/>
        <v/>
      </c>
      <c r="D333" s="3">
        <f>H332*Sheet1!$C$5/12</f>
        <v>6.3713893420451022E-12</v>
      </c>
      <c r="E333" s="3">
        <f>IF(H332&lt;0.01,0,Sheet1!$C$6-D333)</f>
        <v>0</v>
      </c>
      <c r="F333" s="3">
        <f t="shared" si="33"/>
        <v>557078.78395859152</v>
      </c>
      <c r="G333">
        <f t="shared" si="36"/>
        <v>15701.474744759675</v>
      </c>
      <c r="H333" s="3">
        <f t="shared" si="34"/>
        <v>8.9949026005342603E-10</v>
      </c>
      <c r="I333" s="3">
        <f t="shared" si="35"/>
        <v>439999.99999999895</v>
      </c>
    </row>
    <row r="334" spans="1:9" x14ac:dyDescent="0.25">
      <c r="A334" t="str">
        <f t="shared" si="32"/>
        <v/>
      </c>
      <c r="D334" s="3">
        <f>H333*Sheet1!$C$5/12</f>
        <v>6.3713893420451022E-12</v>
      </c>
      <c r="E334" s="3">
        <f>IF(H333&lt;0.01,0,Sheet1!$C$6-D334)</f>
        <v>0</v>
      </c>
      <c r="F334" s="3">
        <f t="shared" si="33"/>
        <v>557078.78395859152</v>
      </c>
      <c r="G334">
        <f t="shared" si="36"/>
        <v>15701.474744759675</v>
      </c>
      <c r="H334" s="3">
        <f t="shared" si="34"/>
        <v>8.9949026005342603E-10</v>
      </c>
      <c r="I334" s="3">
        <f t="shared" si="35"/>
        <v>439999.99999999895</v>
      </c>
    </row>
    <row r="335" spans="1:9" x14ac:dyDescent="0.25">
      <c r="A335" t="str">
        <f t="shared" si="32"/>
        <v/>
      </c>
      <c r="D335" s="3">
        <f>H334*Sheet1!$C$5/12</f>
        <v>6.3713893420451022E-12</v>
      </c>
      <c r="E335" s="3">
        <f>IF(H334&lt;0.01,0,Sheet1!$C$6-D335)</f>
        <v>0</v>
      </c>
      <c r="F335" s="3">
        <f t="shared" si="33"/>
        <v>557078.78395859152</v>
      </c>
      <c r="G335">
        <f t="shared" si="36"/>
        <v>15701.474744759675</v>
      </c>
      <c r="H335" s="3">
        <f t="shared" si="34"/>
        <v>8.9949026005342603E-10</v>
      </c>
      <c r="I335" s="3">
        <f t="shared" si="35"/>
        <v>439999.99999999895</v>
      </c>
    </row>
    <row r="336" spans="1:9" x14ac:dyDescent="0.25">
      <c r="A336" t="str">
        <f t="shared" si="32"/>
        <v/>
      </c>
      <c r="D336" s="3">
        <f>H335*Sheet1!$C$5/12</f>
        <v>6.3713893420451022E-12</v>
      </c>
      <c r="E336" s="3">
        <f>IF(H335&lt;0.01,0,Sheet1!$C$6-D336)</f>
        <v>0</v>
      </c>
      <c r="F336" s="3">
        <f t="shared" si="33"/>
        <v>557078.78395859152</v>
      </c>
      <c r="G336">
        <f t="shared" si="36"/>
        <v>15701.474744759675</v>
      </c>
      <c r="H336" s="3">
        <f t="shared" si="34"/>
        <v>8.9949026005342603E-10</v>
      </c>
      <c r="I336" s="3">
        <f t="shared" si="35"/>
        <v>439999.99999999895</v>
      </c>
    </row>
    <row r="337" spans="1:9" x14ac:dyDescent="0.25">
      <c r="A337" t="str">
        <f t="shared" ref="A337:A362" si="37">IF(ISBLANK(B337),"",CEILING(B337/12,1))</f>
        <v/>
      </c>
      <c r="D337" s="3">
        <f>H336*Sheet1!$C$5/12</f>
        <v>6.3713893420451022E-12</v>
      </c>
      <c r="E337" s="3">
        <f>IF(H336&lt;0.01,0,Sheet1!$C$6-D337)</f>
        <v>0</v>
      </c>
      <c r="F337" s="3">
        <f t="shared" si="33"/>
        <v>557078.78395859152</v>
      </c>
      <c r="G337">
        <f t="shared" si="36"/>
        <v>15701.474744759675</v>
      </c>
      <c r="H337" s="3">
        <f t="shared" si="34"/>
        <v>8.9949026005342603E-10</v>
      </c>
      <c r="I337" s="3">
        <f t="shared" si="35"/>
        <v>439999.99999999895</v>
      </c>
    </row>
    <row r="338" spans="1:9" x14ac:dyDescent="0.25">
      <c r="A338" t="str">
        <f t="shared" si="37"/>
        <v/>
      </c>
      <c r="D338" s="3">
        <f>H337*Sheet1!$C$5/12</f>
        <v>6.3713893420451022E-12</v>
      </c>
      <c r="E338" s="3">
        <f>IF(H337&lt;0.01,0,Sheet1!$C$6-D338)</f>
        <v>0</v>
      </c>
      <c r="F338" s="3">
        <f t="shared" si="33"/>
        <v>557078.78395859152</v>
      </c>
      <c r="G338">
        <f t="shared" si="36"/>
        <v>15701.474744759675</v>
      </c>
      <c r="H338" s="3">
        <f t="shared" si="34"/>
        <v>8.9949026005342603E-10</v>
      </c>
      <c r="I338" s="3">
        <f t="shared" si="35"/>
        <v>439999.99999999895</v>
      </c>
    </row>
    <row r="339" spans="1:9" x14ac:dyDescent="0.25">
      <c r="A339" t="str">
        <f t="shared" si="37"/>
        <v/>
      </c>
      <c r="D339" s="3">
        <f>H338*Sheet1!$C$5/12</f>
        <v>6.3713893420451022E-12</v>
      </c>
      <c r="E339" s="3">
        <f>IF(H338&lt;0.01,0,Sheet1!$C$6-D339)</f>
        <v>0</v>
      </c>
      <c r="F339" s="3">
        <f t="shared" si="33"/>
        <v>557078.78395859152</v>
      </c>
      <c r="G339">
        <f t="shared" si="36"/>
        <v>15701.474744759675</v>
      </c>
      <c r="H339" s="3">
        <f t="shared" si="34"/>
        <v>8.9949026005342603E-10</v>
      </c>
      <c r="I339" s="3">
        <f t="shared" si="35"/>
        <v>439999.99999999895</v>
      </c>
    </row>
    <row r="340" spans="1:9" x14ac:dyDescent="0.25">
      <c r="A340" t="str">
        <f t="shared" si="37"/>
        <v/>
      </c>
      <c r="D340" s="3">
        <f>H339*Sheet1!$C$5/12</f>
        <v>6.3713893420451022E-12</v>
      </c>
      <c r="E340" s="3">
        <f>IF(H339&lt;0.01,0,Sheet1!$C$6-D340)</f>
        <v>0</v>
      </c>
      <c r="F340" s="3">
        <f t="shared" si="33"/>
        <v>557078.78395859152</v>
      </c>
      <c r="G340">
        <f t="shared" si="36"/>
        <v>15701.474744759675</v>
      </c>
      <c r="H340" s="3">
        <f t="shared" si="34"/>
        <v>8.9949026005342603E-10</v>
      </c>
      <c r="I340" s="3">
        <f t="shared" si="35"/>
        <v>439999.99999999895</v>
      </c>
    </row>
    <row r="341" spans="1:9" x14ac:dyDescent="0.25">
      <c r="A341" t="str">
        <f t="shared" si="37"/>
        <v/>
      </c>
      <c r="D341" s="3">
        <f>H340*Sheet1!$C$5/12</f>
        <v>6.3713893420451022E-12</v>
      </c>
      <c r="E341" s="3">
        <f>IF(H340&lt;0.01,0,Sheet1!$C$6-D341)</f>
        <v>0</v>
      </c>
      <c r="F341" s="3">
        <f t="shared" si="33"/>
        <v>557078.78395859152</v>
      </c>
      <c r="G341">
        <f t="shared" si="36"/>
        <v>15701.474744759675</v>
      </c>
      <c r="H341" s="3">
        <f t="shared" si="34"/>
        <v>8.9949026005342603E-10</v>
      </c>
      <c r="I341" s="3">
        <f t="shared" si="35"/>
        <v>439999.99999999895</v>
      </c>
    </row>
    <row r="342" spans="1:9" x14ac:dyDescent="0.25">
      <c r="A342" t="str">
        <f t="shared" si="37"/>
        <v/>
      </c>
      <c r="D342" s="3">
        <f>H341*Sheet1!$C$5/12</f>
        <v>6.3713893420451022E-12</v>
      </c>
      <c r="E342" s="3">
        <f>IF(H341&lt;0.01,0,Sheet1!$C$6-D342)</f>
        <v>0</v>
      </c>
      <c r="F342" s="3">
        <f t="shared" si="33"/>
        <v>557078.78395859152</v>
      </c>
      <c r="G342">
        <f t="shared" si="36"/>
        <v>15701.474744759675</v>
      </c>
      <c r="H342" s="3">
        <f t="shared" si="34"/>
        <v>8.9949026005342603E-10</v>
      </c>
      <c r="I342" s="3">
        <f t="shared" si="35"/>
        <v>439999.99999999895</v>
      </c>
    </row>
    <row r="343" spans="1:9" x14ac:dyDescent="0.25">
      <c r="A343" t="str">
        <f t="shared" si="37"/>
        <v/>
      </c>
      <c r="D343" s="3">
        <f>H342*Sheet1!$C$5/12</f>
        <v>6.3713893420451022E-12</v>
      </c>
      <c r="E343" s="3">
        <f>IF(H342&lt;0.01,0,Sheet1!$C$6-D343)</f>
        <v>0</v>
      </c>
      <c r="F343" s="3">
        <f t="shared" si="33"/>
        <v>557078.78395859152</v>
      </c>
      <c r="G343">
        <f t="shared" si="36"/>
        <v>15701.474744759675</v>
      </c>
      <c r="H343" s="3">
        <f t="shared" si="34"/>
        <v>8.9949026005342603E-10</v>
      </c>
      <c r="I343" s="3">
        <f t="shared" si="35"/>
        <v>439999.99999999895</v>
      </c>
    </row>
    <row r="344" spans="1:9" x14ac:dyDescent="0.25">
      <c r="A344" t="str">
        <f t="shared" si="37"/>
        <v/>
      </c>
      <c r="D344" s="3">
        <f>H343*Sheet1!$C$5/12</f>
        <v>6.3713893420451022E-12</v>
      </c>
      <c r="E344" s="3">
        <f>IF(H343&lt;0.01,0,Sheet1!$C$6-D344)</f>
        <v>0</v>
      </c>
      <c r="F344" s="3">
        <f t="shared" si="33"/>
        <v>557078.78395859152</v>
      </c>
      <c r="G344">
        <f t="shared" si="36"/>
        <v>15701.474744759675</v>
      </c>
      <c r="H344" s="3">
        <f t="shared" si="34"/>
        <v>8.9949026005342603E-10</v>
      </c>
      <c r="I344" s="3">
        <f t="shared" si="35"/>
        <v>439999.99999999895</v>
      </c>
    </row>
    <row r="345" spans="1:9" x14ac:dyDescent="0.25">
      <c r="A345" t="str">
        <f t="shared" si="37"/>
        <v/>
      </c>
      <c r="D345" s="3">
        <f>H344*Sheet1!$C$5/12</f>
        <v>6.3713893420451022E-12</v>
      </c>
      <c r="E345" s="3">
        <f>IF(H344&lt;0.01,0,Sheet1!$C$6-D345)</f>
        <v>0</v>
      </c>
      <c r="F345" s="3">
        <f t="shared" si="33"/>
        <v>557078.78395859152</v>
      </c>
      <c r="G345">
        <f t="shared" si="36"/>
        <v>15701.474744759675</v>
      </c>
      <c r="H345" s="3">
        <f t="shared" si="34"/>
        <v>8.9949026005342603E-10</v>
      </c>
      <c r="I345" s="3">
        <f t="shared" si="35"/>
        <v>439999.99999999895</v>
      </c>
    </row>
    <row r="346" spans="1:9" x14ac:dyDescent="0.25">
      <c r="A346" t="str">
        <f t="shared" si="37"/>
        <v/>
      </c>
      <c r="D346" s="3">
        <f>H345*Sheet1!$C$5/12</f>
        <v>6.3713893420451022E-12</v>
      </c>
      <c r="E346" s="3">
        <f>IF(H345&lt;0.01,0,Sheet1!$C$6-D346)</f>
        <v>0</v>
      </c>
      <c r="F346" s="3">
        <f t="shared" si="33"/>
        <v>557078.78395859152</v>
      </c>
      <c r="G346">
        <f t="shared" si="36"/>
        <v>15701.474744759675</v>
      </c>
      <c r="H346" s="3">
        <f t="shared" si="34"/>
        <v>8.9949026005342603E-10</v>
      </c>
      <c r="I346" s="3">
        <f t="shared" si="35"/>
        <v>439999.99999999895</v>
      </c>
    </row>
    <row r="347" spans="1:9" x14ac:dyDescent="0.25">
      <c r="A347" t="str">
        <f t="shared" si="37"/>
        <v/>
      </c>
      <c r="D347" s="3">
        <f>H346*Sheet1!$C$5/12</f>
        <v>6.3713893420451022E-12</v>
      </c>
      <c r="E347" s="3">
        <f>IF(H346&lt;0.01,0,Sheet1!$C$6-D347)</f>
        <v>0</v>
      </c>
      <c r="F347" s="3">
        <f t="shared" si="33"/>
        <v>557078.78395859152</v>
      </c>
      <c r="G347">
        <f t="shared" si="36"/>
        <v>15701.474744759675</v>
      </c>
      <c r="H347" s="3">
        <f t="shared" si="34"/>
        <v>8.9949026005342603E-10</v>
      </c>
      <c r="I347" s="3">
        <f t="shared" si="35"/>
        <v>439999.99999999895</v>
      </c>
    </row>
    <row r="348" spans="1:9" x14ac:dyDescent="0.25">
      <c r="A348" t="str">
        <f t="shared" si="37"/>
        <v/>
      </c>
      <c r="D348" s="3">
        <f>H347*Sheet1!$C$5/12</f>
        <v>6.3713893420451022E-12</v>
      </c>
      <c r="E348" s="3">
        <f>IF(H347&lt;0.01,0,Sheet1!$C$6-D348)</f>
        <v>0</v>
      </c>
      <c r="F348" s="3">
        <f t="shared" si="33"/>
        <v>557078.78395859152</v>
      </c>
      <c r="G348">
        <f t="shared" si="36"/>
        <v>15701.474744759675</v>
      </c>
      <c r="H348" s="3">
        <f t="shared" si="34"/>
        <v>8.9949026005342603E-10</v>
      </c>
      <c r="I348" s="3">
        <f t="shared" si="35"/>
        <v>439999.99999999895</v>
      </c>
    </row>
    <row r="349" spans="1:9" x14ac:dyDescent="0.25">
      <c r="A349" t="str">
        <f t="shared" si="37"/>
        <v/>
      </c>
      <c r="D349" s="3">
        <f>H348*Sheet1!$C$5/12</f>
        <v>6.3713893420451022E-12</v>
      </c>
      <c r="E349" s="3">
        <f>IF(H348&lt;0.01,0,Sheet1!$C$6-D349)</f>
        <v>0</v>
      </c>
      <c r="F349" s="3">
        <f t="shared" si="33"/>
        <v>557078.78395859152</v>
      </c>
      <c r="G349">
        <f t="shared" si="36"/>
        <v>15701.474744759675</v>
      </c>
      <c r="H349" s="3">
        <f t="shared" si="34"/>
        <v>8.9949026005342603E-10</v>
      </c>
      <c r="I349" s="3">
        <f t="shared" si="35"/>
        <v>439999.99999999895</v>
      </c>
    </row>
    <row r="350" spans="1:9" x14ac:dyDescent="0.25">
      <c r="A350" t="str">
        <f t="shared" si="37"/>
        <v/>
      </c>
      <c r="D350" s="3">
        <f>H349*Sheet1!$C$5/12</f>
        <v>6.3713893420451022E-12</v>
      </c>
      <c r="E350" s="3">
        <f>IF(H349&lt;0.01,0,Sheet1!$C$6-D350)</f>
        <v>0</v>
      </c>
      <c r="F350" s="3">
        <f t="shared" si="33"/>
        <v>557078.78395859152</v>
      </c>
      <c r="G350">
        <f t="shared" si="36"/>
        <v>15701.474744759675</v>
      </c>
      <c r="H350" s="3">
        <f t="shared" si="34"/>
        <v>8.9949026005342603E-10</v>
      </c>
      <c r="I350" s="3">
        <f t="shared" si="35"/>
        <v>439999.99999999895</v>
      </c>
    </row>
    <row r="351" spans="1:9" x14ac:dyDescent="0.25">
      <c r="A351" t="str">
        <f t="shared" si="37"/>
        <v/>
      </c>
      <c r="D351" s="3">
        <f>H350*Sheet1!$C$5/12</f>
        <v>6.3713893420451022E-12</v>
      </c>
      <c r="E351" s="3">
        <f>IF(H350&lt;0.01,0,Sheet1!$C$6-D351)</f>
        <v>0</v>
      </c>
      <c r="F351" s="3">
        <f t="shared" si="33"/>
        <v>557078.78395859152</v>
      </c>
      <c r="G351">
        <f t="shared" si="36"/>
        <v>15701.474744759675</v>
      </c>
      <c r="H351" s="3">
        <f t="shared" si="34"/>
        <v>8.9949026005342603E-10</v>
      </c>
      <c r="I351" s="3">
        <f t="shared" si="35"/>
        <v>439999.99999999895</v>
      </c>
    </row>
    <row r="352" spans="1:9" x14ac:dyDescent="0.25">
      <c r="A352" t="str">
        <f t="shared" si="37"/>
        <v/>
      </c>
      <c r="D352" s="3">
        <f>H351*Sheet1!$C$5/12</f>
        <v>6.3713893420451022E-12</v>
      </c>
      <c r="E352" s="3">
        <f>IF(H351&lt;0.01,0,Sheet1!$C$6-D352)</f>
        <v>0</v>
      </c>
      <c r="F352" s="3">
        <f t="shared" si="33"/>
        <v>557078.78395859152</v>
      </c>
      <c r="G352">
        <f t="shared" si="36"/>
        <v>15701.474744759675</v>
      </c>
      <c r="H352" s="3">
        <f t="shared" si="34"/>
        <v>8.9949026005342603E-10</v>
      </c>
      <c r="I352" s="3">
        <f t="shared" si="35"/>
        <v>439999.99999999895</v>
      </c>
    </row>
    <row r="353" spans="1:11" x14ac:dyDescent="0.25">
      <c r="A353" t="str">
        <f t="shared" si="37"/>
        <v/>
      </c>
      <c r="D353" s="3">
        <f>H352*Sheet1!$C$5/12</f>
        <v>6.3713893420451022E-12</v>
      </c>
      <c r="E353" s="3">
        <f>IF(H352&lt;0.01,0,Sheet1!$C$6-D353)</f>
        <v>0</v>
      </c>
      <c r="F353" s="3">
        <f t="shared" si="33"/>
        <v>557078.78395859152</v>
      </c>
      <c r="G353">
        <f t="shared" si="36"/>
        <v>15701.474744759675</v>
      </c>
      <c r="H353" s="3">
        <f t="shared" si="34"/>
        <v>8.9949026005342603E-10</v>
      </c>
      <c r="I353" s="3">
        <f t="shared" si="35"/>
        <v>439999.99999999895</v>
      </c>
    </row>
    <row r="354" spans="1:11" x14ac:dyDescent="0.25">
      <c r="A354" t="str">
        <f t="shared" si="37"/>
        <v/>
      </c>
      <c r="D354" s="3">
        <f>H353*Sheet1!$C$5/12</f>
        <v>6.3713893420451022E-12</v>
      </c>
      <c r="E354" s="3">
        <f>IF(H353&lt;0.01,0,Sheet1!$C$6-D354)</f>
        <v>0</v>
      </c>
      <c r="F354" s="3">
        <f t="shared" si="33"/>
        <v>557078.78395859152</v>
      </c>
      <c r="G354">
        <f t="shared" si="36"/>
        <v>15701.474744759675</v>
      </c>
      <c r="H354" s="3">
        <f t="shared" si="34"/>
        <v>8.9949026005342603E-10</v>
      </c>
      <c r="I354" s="3">
        <f t="shared" si="35"/>
        <v>439999.99999999895</v>
      </c>
    </row>
    <row r="355" spans="1:11" x14ac:dyDescent="0.25">
      <c r="A355" t="str">
        <f t="shared" si="37"/>
        <v/>
      </c>
      <c r="D355" s="3">
        <f>H354*Sheet1!$C$5/12</f>
        <v>6.3713893420451022E-12</v>
      </c>
      <c r="E355" s="3">
        <f>IF(H354&lt;0.01,0,Sheet1!$C$6-D355)</f>
        <v>0</v>
      </c>
      <c r="F355" s="3">
        <f t="shared" si="33"/>
        <v>557078.78395859152</v>
      </c>
      <c r="G355">
        <f t="shared" si="36"/>
        <v>15701.474744759675</v>
      </c>
      <c r="H355" s="3">
        <f t="shared" si="34"/>
        <v>8.9949026005342603E-10</v>
      </c>
      <c r="I355" s="3">
        <f t="shared" si="35"/>
        <v>439999.99999999895</v>
      </c>
    </row>
    <row r="356" spans="1:11" x14ac:dyDescent="0.25">
      <c r="A356" t="str">
        <f t="shared" si="37"/>
        <v/>
      </c>
      <c r="D356" s="3">
        <f>H355*Sheet1!$C$5/12</f>
        <v>6.3713893420451022E-12</v>
      </c>
      <c r="E356" s="3">
        <f>IF(H355&lt;0.01,0,Sheet1!$C$6-D356)</f>
        <v>0</v>
      </c>
      <c r="F356" s="3">
        <f t="shared" si="33"/>
        <v>557078.78395859152</v>
      </c>
      <c r="G356">
        <f t="shared" si="36"/>
        <v>15701.474744759675</v>
      </c>
      <c r="H356" s="3">
        <f t="shared" si="34"/>
        <v>8.9949026005342603E-10</v>
      </c>
      <c r="I356" s="3">
        <f t="shared" si="35"/>
        <v>439999.99999999895</v>
      </c>
    </row>
    <row r="357" spans="1:11" x14ac:dyDescent="0.25">
      <c r="A357" t="str">
        <f t="shared" si="37"/>
        <v/>
      </c>
      <c r="D357" s="3">
        <f>H356*Sheet1!$C$5/12</f>
        <v>6.3713893420451022E-12</v>
      </c>
      <c r="E357" s="3">
        <f>IF(H356&lt;0.01,0,Sheet1!$C$6-D357)</f>
        <v>0</v>
      </c>
      <c r="F357" s="3">
        <f t="shared" si="33"/>
        <v>557078.78395859152</v>
      </c>
      <c r="G357">
        <f t="shared" si="36"/>
        <v>15701.474744759675</v>
      </c>
      <c r="H357" s="3">
        <f t="shared" si="34"/>
        <v>8.9949026005342603E-10</v>
      </c>
      <c r="I357" s="3">
        <f t="shared" si="35"/>
        <v>439999.99999999895</v>
      </c>
    </row>
    <row r="358" spans="1:11" x14ac:dyDescent="0.25">
      <c r="A358" t="str">
        <f t="shared" si="37"/>
        <v/>
      </c>
      <c r="D358" s="3">
        <f>H357*Sheet1!$C$5/12</f>
        <v>6.3713893420451022E-12</v>
      </c>
      <c r="E358" s="3">
        <f>IF(H357&lt;0.01,0,Sheet1!$C$6-D358)</f>
        <v>0</v>
      </c>
      <c r="F358" s="3">
        <f t="shared" si="33"/>
        <v>557078.78395859152</v>
      </c>
      <c r="G358">
        <f t="shared" si="36"/>
        <v>15701.474744759675</v>
      </c>
      <c r="H358" s="3">
        <f t="shared" si="34"/>
        <v>8.9949026005342603E-10</v>
      </c>
      <c r="I358" s="3">
        <f t="shared" si="35"/>
        <v>439999.99999999895</v>
      </c>
    </row>
    <row r="359" spans="1:11" x14ac:dyDescent="0.25">
      <c r="A359" t="str">
        <f t="shared" si="37"/>
        <v/>
      </c>
      <c r="D359" s="3">
        <f>H358*Sheet1!$C$5/12</f>
        <v>6.3713893420451022E-12</v>
      </c>
      <c r="E359" s="3">
        <f>IF(H358&lt;0.01,0,Sheet1!$C$6-D359)</f>
        <v>0</v>
      </c>
      <c r="F359" s="3">
        <f t="shared" si="33"/>
        <v>557078.78395859152</v>
      </c>
      <c r="G359">
        <f t="shared" si="36"/>
        <v>15701.474744759675</v>
      </c>
      <c r="H359" s="3">
        <f t="shared" si="34"/>
        <v>8.9949026005342603E-10</v>
      </c>
      <c r="I359" s="3">
        <f t="shared" si="35"/>
        <v>439999.99999999895</v>
      </c>
    </row>
    <row r="360" spans="1:11" x14ac:dyDescent="0.25">
      <c r="A360" t="str">
        <f t="shared" si="37"/>
        <v/>
      </c>
      <c r="D360" s="3">
        <f>H359*Sheet1!$C$5/12</f>
        <v>6.3713893420451022E-12</v>
      </c>
      <c r="E360" s="3">
        <f>IF(H359&lt;0.01,0,Sheet1!$C$6-D360)</f>
        <v>0</v>
      </c>
      <c r="F360" s="3">
        <f t="shared" si="33"/>
        <v>557078.78395859152</v>
      </c>
      <c r="G360">
        <f t="shared" si="36"/>
        <v>15701.474744759675</v>
      </c>
      <c r="H360" s="3">
        <f t="shared" si="34"/>
        <v>8.9949026005342603E-10</v>
      </c>
      <c r="I360" s="3">
        <f t="shared" si="35"/>
        <v>439999.99999999895</v>
      </c>
    </row>
    <row r="361" spans="1:11" x14ac:dyDescent="0.25">
      <c r="A361" t="str">
        <f t="shared" si="37"/>
        <v/>
      </c>
      <c r="D361" s="3">
        <f>H360*Sheet1!$C$5/12</f>
        <v>6.3713893420451022E-12</v>
      </c>
      <c r="E361" s="3">
        <f>IF(H360&lt;0.01,0,Sheet1!$C$6-D361)</f>
        <v>0</v>
      </c>
      <c r="F361" s="3">
        <f t="shared" si="33"/>
        <v>557078.78395859152</v>
      </c>
      <c r="G361">
        <f t="shared" si="36"/>
        <v>15701.474744759675</v>
      </c>
      <c r="H361" s="3">
        <f t="shared" si="34"/>
        <v>8.9949026005342603E-10</v>
      </c>
      <c r="I361" s="3">
        <f t="shared" si="35"/>
        <v>439999.99999999895</v>
      </c>
    </row>
    <row r="362" spans="1:11" x14ac:dyDescent="0.25">
      <c r="A362" t="str">
        <f t="shared" si="37"/>
        <v/>
      </c>
      <c r="D362" s="3">
        <f>H361*Sheet1!$C$5/12</f>
        <v>6.3713893420451022E-12</v>
      </c>
      <c r="E362" s="3">
        <f>IF(H361&lt;0.01,0,Sheet1!$C$6-D362)</f>
        <v>0</v>
      </c>
      <c r="F362" s="3">
        <f t="shared" si="33"/>
        <v>557078.78395859152</v>
      </c>
      <c r="G362">
        <f t="shared" si="36"/>
        <v>15701.474744759675</v>
      </c>
      <c r="H362" s="3">
        <f t="shared" si="34"/>
        <v>8.9949026005342603E-10</v>
      </c>
      <c r="I362" s="3">
        <f t="shared" si="35"/>
        <v>439999.99999999895</v>
      </c>
      <c r="K362">
        <f>F362/G362</f>
        <v>35.47939241468481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Rodriguez Walton</dc:creator>
  <cp:lastModifiedBy>Samuel Rodriguez Walton</cp:lastModifiedBy>
  <dcterms:created xsi:type="dcterms:W3CDTF">2025-09-16T17:47:27Z</dcterms:created>
  <dcterms:modified xsi:type="dcterms:W3CDTF">2026-01-13T16:15:05Z</dcterms:modified>
</cp:coreProperties>
</file>