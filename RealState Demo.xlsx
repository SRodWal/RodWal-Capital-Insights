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"/>
    </mc:Choice>
  </mc:AlternateContent>
  <xr:revisionPtr revIDLastSave="280" documentId="8_{D9D41425-BFBA-4D17-9F9F-E4882D05B281}" xr6:coauthVersionLast="47" xr6:coauthVersionMax="47" xr10:uidLastSave="{416116EE-862B-4247-B2C9-F7B3B026E753}"/>
  <bookViews>
    <workbookView xWindow="-120" yWindow="-120" windowWidth="29040" windowHeight="15720" xr2:uid="{C700A36C-2A74-4E38-84B3-E96986FC4AC7}"/>
  </bookViews>
  <sheets>
    <sheet name="Sheet1" sheetId="1" r:id="rId1"/>
    <sheet name="CALC" sheetId="2" r:id="rId2"/>
  </sheets>
  <calcPr calcId="191029"/>
  <pivotCaches>
    <pivotCache cacheId="17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11" i="1"/>
  <c r="C3" i="1"/>
  <c r="B3" i="2" a="1"/>
  <c r="C2" i="2"/>
  <c r="H2" i="2" s="1"/>
  <c r="A2" i="2"/>
  <c r="C10" i="1"/>
  <c r="A92" i="2" l="1"/>
  <c r="A104" i="2"/>
  <c r="A116" i="2"/>
  <c r="A128" i="2"/>
  <c r="A140" i="2"/>
  <c r="A152" i="2"/>
  <c r="A164" i="2"/>
  <c r="A176" i="2"/>
  <c r="A188" i="2"/>
  <c r="A200" i="2"/>
  <c r="A212" i="2"/>
  <c r="A224" i="2"/>
  <c r="A236" i="2"/>
  <c r="A110" i="2"/>
  <c r="A170" i="2"/>
  <c r="A218" i="2"/>
  <c r="A99" i="2"/>
  <c r="A195" i="2"/>
  <c r="A90" i="2"/>
  <c r="A103" i="2"/>
  <c r="A211" i="2"/>
  <c r="A151" i="2"/>
  <c r="A222" i="2"/>
  <c r="A150" i="2"/>
  <c r="A209" i="2"/>
  <c r="A113" i="2"/>
  <c r="A87" i="2"/>
  <c r="A91" i="2"/>
  <c r="A122" i="2"/>
  <c r="A235" i="2"/>
  <c r="A163" i="2"/>
  <c r="A162" i="2"/>
  <c r="A221" i="2"/>
  <c r="A161" i="2"/>
  <c r="A125" i="2"/>
  <c r="A208" i="2"/>
  <c r="A148" i="2"/>
  <c r="A88" i="2"/>
  <c r="A207" i="2"/>
  <c r="A159" i="2"/>
  <c r="A111" i="2"/>
  <c r="A194" i="2"/>
  <c r="A158" i="2"/>
  <c r="A86" i="2"/>
  <c r="A241" i="2"/>
  <c r="A229" i="2"/>
  <c r="A217" i="2"/>
  <c r="A205" i="2"/>
  <c r="A193" i="2"/>
  <c r="A181" i="2"/>
  <c r="A169" i="2"/>
  <c r="A157" i="2"/>
  <c r="A145" i="2"/>
  <c r="A133" i="2"/>
  <c r="A121" i="2"/>
  <c r="A109" i="2"/>
  <c r="A97" i="2"/>
  <c r="A85" i="2"/>
  <c r="A175" i="2"/>
  <c r="A186" i="2"/>
  <c r="A174" i="2"/>
  <c r="A102" i="2"/>
  <c r="A173" i="2"/>
  <c r="A89" i="2"/>
  <c r="A232" i="2"/>
  <c r="A184" i="2"/>
  <c r="A136" i="2"/>
  <c r="A112" i="2"/>
  <c r="A231" i="2"/>
  <c r="A183" i="2"/>
  <c r="A123" i="2"/>
  <c r="A206" i="2"/>
  <c r="A134" i="2"/>
  <c r="A240" i="2"/>
  <c r="A228" i="2"/>
  <c r="A216" i="2"/>
  <c r="A204" i="2"/>
  <c r="A192" i="2"/>
  <c r="A180" i="2"/>
  <c r="A168" i="2"/>
  <c r="A156" i="2"/>
  <c r="A144" i="2"/>
  <c r="A132" i="2"/>
  <c r="A120" i="2"/>
  <c r="A108" i="2"/>
  <c r="A96" i="2"/>
  <c r="A84" i="2"/>
  <c r="A223" i="2"/>
  <c r="A139" i="2"/>
  <c r="A198" i="2"/>
  <c r="A126" i="2"/>
  <c r="A197" i="2"/>
  <c r="A137" i="2"/>
  <c r="A220" i="2"/>
  <c r="A160" i="2"/>
  <c r="A135" i="2"/>
  <c r="A239" i="2"/>
  <c r="A227" i="2"/>
  <c r="A215" i="2"/>
  <c r="A203" i="2"/>
  <c r="A191" i="2"/>
  <c r="A179" i="2"/>
  <c r="A167" i="2"/>
  <c r="A155" i="2"/>
  <c r="A143" i="2"/>
  <c r="A131" i="2"/>
  <c r="A119" i="2"/>
  <c r="A107" i="2"/>
  <c r="A95" i="2"/>
  <c r="A83" i="2"/>
  <c r="A187" i="2"/>
  <c r="A127" i="2"/>
  <c r="A234" i="2"/>
  <c r="A138" i="2"/>
  <c r="A185" i="2"/>
  <c r="A101" i="2"/>
  <c r="A172" i="2"/>
  <c r="A124" i="2"/>
  <c r="A219" i="2"/>
  <c r="A147" i="2"/>
  <c r="A230" i="2"/>
  <c r="A146" i="2"/>
  <c r="A238" i="2"/>
  <c r="A226" i="2"/>
  <c r="A214" i="2"/>
  <c r="A202" i="2"/>
  <c r="A190" i="2"/>
  <c r="A178" i="2"/>
  <c r="A166" i="2"/>
  <c r="A154" i="2"/>
  <c r="A142" i="2"/>
  <c r="A130" i="2"/>
  <c r="A118" i="2"/>
  <c r="A106" i="2"/>
  <c r="A94" i="2"/>
  <c r="A82" i="2"/>
  <c r="A199" i="2"/>
  <c r="A115" i="2"/>
  <c r="A210" i="2"/>
  <c r="A114" i="2"/>
  <c r="A233" i="2"/>
  <c r="A149" i="2"/>
  <c r="A196" i="2"/>
  <c r="A100" i="2"/>
  <c r="A171" i="2"/>
  <c r="A242" i="2"/>
  <c r="A182" i="2"/>
  <c r="A98" i="2"/>
  <c r="A237" i="2"/>
  <c r="A225" i="2"/>
  <c r="A213" i="2"/>
  <c r="A201" i="2"/>
  <c r="A189" i="2"/>
  <c r="A177" i="2"/>
  <c r="A165" i="2"/>
  <c r="A153" i="2"/>
  <c r="A141" i="2"/>
  <c r="A129" i="2"/>
  <c r="A117" i="2"/>
  <c r="A105" i="2"/>
  <c r="A93" i="2"/>
  <c r="A81" i="2"/>
  <c r="B3" i="2"/>
  <c r="A3" i="2" s="1"/>
  <c r="A80" i="2"/>
  <c r="A68" i="2"/>
  <c r="A76" i="2"/>
  <c r="A70" i="2"/>
  <c r="A71" i="2"/>
  <c r="A73" i="2"/>
  <c r="A63" i="2"/>
  <c r="A65" i="2"/>
  <c r="A77" i="2"/>
  <c r="A69" i="2"/>
  <c r="A75" i="2"/>
  <c r="A66" i="2"/>
  <c r="A78" i="2"/>
  <c r="A72" i="2"/>
  <c r="A74" i="2"/>
  <c r="A64" i="2"/>
  <c r="A67" i="2"/>
  <c r="A79" i="2"/>
  <c r="A13" i="2"/>
  <c r="A21" i="2"/>
  <c r="A31" i="2"/>
  <c r="A39" i="2"/>
  <c r="A47" i="2"/>
  <c r="A53" i="2"/>
  <c r="A55" i="2"/>
  <c r="A9" i="2"/>
  <c r="A25" i="2"/>
  <c r="A17" i="2"/>
  <c r="A51" i="2"/>
  <c r="A14" i="2"/>
  <c r="A38" i="2"/>
  <c r="A60" i="2"/>
  <c r="A7" i="2"/>
  <c r="A15" i="2"/>
  <c r="A27" i="2"/>
  <c r="A37" i="2"/>
  <c r="A49" i="2"/>
  <c r="A10" i="2"/>
  <c r="A16" i="2"/>
  <c r="A22" i="2"/>
  <c r="A26" i="2"/>
  <c r="A36" i="2"/>
  <c r="A46" i="2"/>
  <c r="A48" i="2"/>
  <c r="A50" i="2"/>
  <c r="A56" i="2"/>
  <c r="A62" i="2"/>
  <c r="F2" i="2"/>
  <c r="A19" i="2"/>
  <c r="A35" i="2"/>
  <c r="A45" i="2"/>
  <c r="A59" i="2"/>
  <c r="A8" i="2"/>
  <c r="A28" i="2"/>
  <c r="G2" i="2"/>
  <c r="A11" i="2"/>
  <c r="A29" i="2"/>
  <c r="A43" i="2"/>
  <c r="A57" i="2"/>
  <c r="A6" i="2"/>
  <c r="A20" i="2"/>
  <c r="A32" i="2"/>
  <c r="A42" i="2"/>
  <c r="A54" i="2"/>
  <c r="A33" i="2"/>
  <c r="A12" i="2"/>
  <c r="A24" i="2"/>
  <c r="A34" i="2"/>
  <c r="A44" i="2"/>
  <c r="A52" i="2"/>
  <c r="A5" i="2"/>
  <c r="A23" i="2"/>
  <c r="A41" i="2"/>
  <c r="A61" i="2"/>
  <c r="A4" i="2"/>
  <c r="A18" i="2"/>
  <c r="A30" i="2"/>
  <c r="A40" i="2"/>
  <c r="A58" i="2"/>
  <c r="D3" i="2" l="1"/>
  <c r="C6" i="1" l="1"/>
  <c r="E3" i="2" s="1"/>
  <c r="C11" i="1"/>
  <c r="H3" i="2" l="1"/>
  <c r="G3" i="2"/>
  <c r="F3" i="2"/>
  <c r="D4" i="2" l="1"/>
  <c r="E4" i="2" l="1"/>
  <c r="H4" i="2" l="1"/>
  <c r="G4" i="2"/>
  <c r="F4" i="2"/>
  <c r="D5" i="2" l="1"/>
  <c r="E5" i="2" l="1"/>
  <c r="H5" i="2" l="1"/>
  <c r="G5" i="2"/>
  <c r="F5" i="2"/>
  <c r="D6" i="2" l="1"/>
  <c r="E6" i="2" l="1"/>
  <c r="H6" i="2" l="1"/>
  <c r="G6" i="2"/>
  <c r="F6" i="2"/>
  <c r="D7" i="2" l="1"/>
  <c r="E7" i="2" l="1"/>
  <c r="H7" i="2" l="1"/>
  <c r="G7" i="2"/>
  <c r="F7" i="2"/>
  <c r="D8" i="2" l="1"/>
  <c r="E8" i="2" l="1"/>
  <c r="H8" i="2" l="1"/>
  <c r="G8" i="2"/>
  <c r="F8" i="2"/>
  <c r="D9" i="2" l="1"/>
  <c r="E9" i="2" l="1"/>
  <c r="H9" i="2" l="1"/>
  <c r="G9" i="2"/>
  <c r="F9" i="2"/>
  <c r="D10" i="2" l="1"/>
  <c r="E10" i="2" l="1"/>
  <c r="H10" i="2" l="1"/>
  <c r="G10" i="2"/>
  <c r="F10" i="2"/>
  <c r="D11" i="2" l="1"/>
  <c r="E11" i="2" s="1"/>
  <c r="H11" i="2" l="1"/>
  <c r="G11" i="2"/>
  <c r="F11" i="2"/>
  <c r="D12" i="2" l="1"/>
  <c r="E12" i="2" l="1"/>
  <c r="H12" i="2" l="1"/>
  <c r="G12" i="2"/>
  <c r="F12" i="2"/>
  <c r="D13" i="2" l="1"/>
  <c r="E13" i="2" l="1"/>
  <c r="H13" i="2" l="1"/>
  <c r="G13" i="2"/>
  <c r="F13" i="2"/>
  <c r="D14" i="2" l="1"/>
  <c r="E14" i="2" l="1"/>
  <c r="H14" i="2" l="1"/>
  <c r="G14" i="2"/>
  <c r="F14" i="2"/>
  <c r="D15" i="2" l="1"/>
  <c r="E15" i="2" l="1"/>
  <c r="H15" i="2" l="1"/>
  <c r="G15" i="2"/>
  <c r="F15" i="2"/>
  <c r="D16" i="2" l="1"/>
  <c r="E16" i="2" l="1"/>
  <c r="H16" i="2" l="1"/>
  <c r="G16" i="2"/>
  <c r="F16" i="2"/>
  <c r="D17" i="2" l="1"/>
  <c r="E17" i="2" l="1"/>
  <c r="H17" i="2" l="1"/>
  <c r="G17" i="2"/>
  <c r="F17" i="2"/>
  <c r="D18" i="2" l="1"/>
  <c r="E18" i="2" l="1"/>
  <c r="H18" i="2" l="1"/>
  <c r="G18" i="2"/>
  <c r="F18" i="2"/>
  <c r="D19" i="2" l="1"/>
  <c r="E19" i="2" l="1"/>
  <c r="H19" i="2" l="1"/>
  <c r="G19" i="2"/>
  <c r="F19" i="2"/>
  <c r="D20" i="2" l="1"/>
  <c r="E20" i="2" l="1"/>
  <c r="H20" i="2" l="1"/>
  <c r="G20" i="2"/>
  <c r="F20" i="2"/>
  <c r="D21" i="2" l="1"/>
  <c r="E21" i="2" l="1"/>
  <c r="H21" i="2" l="1"/>
  <c r="G21" i="2"/>
  <c r="F21" i="2"/>
  <c r="D22" i="2" l="1"/>
  <c r="E22" i="2" l="1"/>
  <c r="H22" i="2" l="1"/>
  <c r="G22" i="2"/>
  <c r="F22" i="2"/>
  <c r="D23" i="2" l="1"/>
  <c r="E23" i="2" l="1"/>
  <c r="H23" i="2" l="1"/>
  <c r="G23" i="2"/>
  <c r="F23" i="2"/>
  <c r="D24" i="2" l="1"/>
  <c r="E24" i="2" l="1"/>
  <c r="H24" i="2" l="1"/>
  <c r="G24" i="2"/>
  <c r="F24" i="2"/>
  <c r="D25" i="2" l="1"/>
  <c r="E25" i="2" l="1"/>
  <c r="H25" i="2" l="1"/>
  <c r="G25" i="2"/>
  <c r="F25" i="2"/>
  <c r="D26" i="2" l="1"/>
  <c r="E26" i="2" l="1"/>
  <c r="H26" i="2" l="1"/>
  <c r="G26" i="2"/>
  <c r="F26" i="2"/>
  <c r="D27" i="2" l="1"/>
  <c r="E27" i="2" l="1"/>
  <c r="H27" i="2" l="1"/>
  <c r="G27" i="2"/>
  <c r="F27" i="2"/>
  <c r="D28" i="2" l="1"/>
  <c r="E28" i="2" l="1"/>
  <c r="H28" i="2" l="1"/>
  <c r="G28" i="2"/>
  <c r="F28" i="2"/>
  <c r="D29" i="2" l="1"/>
  <c r="E29" i="2" l="1"/>
  <c r="H29" i="2" l="1"/>
  <c r="G29" i="2"/>
  <c r="F29" i="2"/>
  <c r="D30" i="2" l="1"/>
  <c r="E30" i="2" l="1"/>
  <c r="H30" i="2" l="1"/>
  <c r="G30" i="2"/>
  <c r="F30" i="2"/>
  <c r="D31" i="2" l="1"/>
  <c r="E31" i="2" l="1"/>
  <c r="H31" i="2" l="1"/>
  <c r="G31" i="2"/>
  <c r="F31" i="2"/>
  <c r="D32" i="2" l="1"/>
  <c r="E32" i="2" l="1"/>
  <c r="H32" i="2" l="1"/>
  <c r="G32" i="2"/>
  <c r="F32" i="2"/>
  <c r="D33" i="2" l="1"/>
  <c r="E33" i="2" l="1"/>
  <c r="H33" i="2" l="1"/>
  <c r="G33" i="2"/>
  <c r="F33" i="2"/>
  <c r="D34" i="2" l="1"/>
  <c r="E34" i="2" l="1"/>
  <c r="H34" i="2" l="1"/>
  <c r="G34" i="2"/>
  <c r="F34" i="2"/>
  <c r="D35" i="2" l="1"/>
  <c r="E35" i="2" l="1"/>
  <c r="H35" i="2" l="1"/>
  <c r="G35" i="2"/>
  <c r="F35" i="2"/>
  <c r="D36" i="2" l="1"/>
  <c r="E36" i="2" l="1"/>
  <c r="H36" i="2" l="1"/>
  <c r="G36" i="2"/>
  <c r="F36" i="2"/>
  <c r="D37" i="2" l="1"/>
  <c r="E37" i="2" s="1"/>
  <c r="H37" i="2" l="1"/>
  <c r="G37" i="2"/>
  <c r="F37" i="2"/>
  <c r="D38" i="2" l="1"/>
  <c r="E38" i="2" l="1"/>
  <c r="H38" i="2" l="1"/>
  <c r="G38" i="2"/>
  <c r="F38" i="2"/>
  <c r="D39" i="2" l="1"/>
  <c r="E39" i="2" l="1"/>
  <c r="H39" i="2" l="1"/>
  <c r="G39" i="2"/>
  <c r="F39" i="2"/>
  <c r="D40" i="2" l="1"/>
  <c r="E40" i="2" l="1"/>
  <c r="H40" i="2" l="1"/>
  <c r="G40" i="2"/>
  <c r="F40" i="2"/>
  <c r="D41" i="2" l="1"/>
  <c r="E41" i="2" l="1"/>
  <c r="H41" i="2" l="1"/>
  <c r="G41" i="2"/>
  <c r="F41" i="2"/>
  <c r="D42" i="2" l="1"/>
  <c r="E42" i="2" l="1"/>
  <c r="H42" i="2" l="1"/>
  <c r="G42" i="2"/>
  <c r="F42" i="2"/>
  <c r="D43" i="2" l="1"/>
  <c r="E43" i="2" l="1"/>
  <c r="H43" i="2" l="1"/>
  <c r="G43" i="2"/>
  <c r="F43" i="2"/>
  <c r="D44" i="2" l="1"/>
  <c r="E44" i="2" l="1"/>
  <c r="H44" i="2" l="1"/>
  <c r="G44" i="2"/>
  <c r="F44" i="2"/>
  <c r="D45" i="2" l="1"/>
  <c r="E45" i="2" s="1"/>
  <c r="H45" i="2" l="1"/>
  <c r="G45" i="2"/>
  <c r="F45" i="2"/>
  <c r="D46" i="2" l="1"/>
  <c r="E46" i="2" l="1"/>
  <c r="H46" i="2" l="1"/>
  <c r="G46" i="2"/>
  <c r="F46" i="2"/>
  <c r="D47" i="2" l="1"/>
  <c r="E47" i="2" l="1"/>
  <c r="H47" i="2" l="1"/>
  <c r="G47" i="2"/>
  <c r="F47" i="2"/>
  <c r="D48" i="2" l="1"/>
  <c r="E48" i="2" l="1"/>
  <c r="H48" i="2" l="1"/>
  <c r="G48" i="2"/>
  <c r="F48" i="2"/>
  <c r="D49" i="2" l="1"/>
  <c r="E49" i="2" l="1"/>
  <c r="H49" i="2" l="1"/>
  <c r="G49" i="2"/>
  <c r="F49" i="2"/>
  <c r="D50" i="2" l="1"/>
  <c r="E50" i="2" l="1"/>
  <c r="H50" i="2" l="1"/>
  <c r="G50" i="2"/>
  <c r="F50" i="2"/>
  <c r="D51" i="2" l="1"/>
  <c r="E51" i="2" l="1"/>
  <c r="H51" i="2" l="1"/>
  <c r="G51" i="2"/>
  <c r="F51" i="2"/>
  <c r="D52" i="2" l="1"/>
  <c r="E52" i="2" l="1"/>
  <c r="H52" i="2" l="1"/>
  <c r="G52" i="2"/>
  <c r="F52" i="2"/>
  <c r="D53" i="2" l="1"/>
  <c r="E53" i="2" l="1"/>
  <c r="H53" i="2" s="1"/>
  <c r="G53" i="2" l="1"/>
  <c r="D54" i="2" s="1"/>
  <c r="F53" i="2"/>
  <c r="E54" i="2" l="1"/>
  <c r="H54" i="2" l="1"/>
  <c r="G54" i="2"/>
  <c r="F54" i="2"/>
  <c r="D55" i="2" l="1"/>
  <c r="E55" i="2" l="1"/>
  <c r="H55" i="2" l="1"/>
  <c r="G55" i="2"/>
  <c r="F55" i="2"/>
  <c r="D56" i="2" l="1"/>
  <c r="E56" i="2" l="1"/>
  <c r="H56" i="2" l="1"/>
  <c r="G56" i="2"/>
  <c r="F56" i="2"/>
  <c r="D57" i="2" l="1"/>
  <c r="E57" i="2" l="1"/>
  <c r="H57" i="2" l="1"/>
  <c r="G57" i="2"/>
  <c r="F57" i="2"/>
  <c r="D58" i="2" l="1"/>
  <c r="E58" i="2" l="1"/>
  <c r="H58" i="2" l="1"/>
  <c r="G58" i="2"/>
  <c r="F58" i="2"/>
  <c r="D59" i="2" l="1"/>
  <c r="E59" i="2" l="1"/>
  <c r="H59" i="2" l="1"/>
  <c r="G59" i="2"/>
  <c r="F59" i="2"/>
  <c r="D60" i="2" l="1"/>
  <c r="E60" i="2" l="1"/>
  <c r="H60" i="2" l="1"/>
  <c r="G60" i="2"/>
  <c r="F60" i="2"/>
  <c r="D61" i="2" l="1"/>
  <c r="E61" i="2" l="1"/>
  <c r="H61" i="2" l="1"/>
  <c r="G61" i="2"/>
  <c r="F61" i="2"/>
  <c r="D62" i="2" l="1"/>
  <c r="E62" i="2" l="1"/>
  <c r="H62" i="2" l="1"/>
  <c r="G62" i="2"/>
  <c r="F62" i="2"/>
  <c r="D63" i="2" l="1"/>
  <c r="E63" i="2" l="1"/>
  <c r="H63" i="2" s="1"/>
  <c r="G63" i="2" l="1"/>
  <c r="F63" i="2"/>
  <c r="D64" i="2"/>
  <c r="E64" i="2" l="1"/>
  <c r="H64" i="2" s="1"/>
  <c r="G64" i="2" l="1"/>
  <c r="F64" i="2"/>
  <c r="D65" i="2"/>
  <c r="E65" i="2" l="1"/>
  <c r="H65" i="2" s="1"/>
  <c r="G65" i="2" l="1"/>
  <c r="D66" i="2" s="1"/>
  <c r="E66" i="2"/>
  <c r="H66" i="2" s="1"/>
  <c r="F65" i="2"/>
  <c r="F66" i="2" l="1"/>
  <c r="G66" i="2"/>
  <c r="D67" i="2"/>
  <c r="E67" i="2" l="1"/>
  <c r="H67" i="2" s="1"/>
  <c r="G67" i="2"/>
  <c r="F67" i="2" l="1"/>
  <c r="D68" i="2"/>
  <c r="E68" i="2" l="1"/>
  <c r="H68" i="2" s="1"/>
  <c r="G68" i="2" l="1"/>
  <c r="F68" i="2"/>
  <c r="D69" i="2"/>
  <c r="E69" i="2" l="1"/>
  <c r="H69" i="2" s="1"/>
  <c r="G69" i="2" l="1"/>
  <c r="F69" i="2"/>
  <c r="D70" i="2"/>
  <c r="E70" i="2" l="1"/>
  <c r="H70" i="2" s="1"/>
  <c r="G70" i="2"/>
  <c r="F70" i="2" l="1"/>
  <c r="D71" i="2"/>
  <c r="E71" i="2" l="1"/>
  <c r="H71" i="2" s="1"/>
  <c r="G71" i="2" l="1"/>
  <c r="F71" i="2"/>
  <c r="D72" i="2"/>
  <c r="E72" i="2" l="1"/>
  <c r="H72" i="2" s="1"/>
  <c r="G72" i="2"/>
  <c r="F72" i="2" l="1"/>
  <c r="D73" i="2"/>
  <c r="E73" i="2" l="1"/>
  <c r="H73" i="2" s="1"/>
  <c r="G73" i="2" l="1"/>
  <c r="F73" i="2"/>
  <c r="D74" i="2"/>
  <c r="E74" i="2" l="1"/>
  <c r="H74" i="2" s="1"/>
  <c r="G74" i="2" l="1"/>
  <c r="F74" i="2"/>
  <c r="D75" i="2" l="1"/>
  <c r="E75" i="2" l="1"/>
  <c r="H75" i="2" l="1"/>
  <c r="G75" i="2"/>
  <c r="F75" i="2"/>
  <c r="D76" i="2" l="1"/>
  <c r="E76" i="2"/>
  <c r="H76" i="2" s="1"/>
  <c r="G76" i="2" l="1"/>
  <c r="F76" i="2"/>
  <c r="D77" i="2" l="1"/>
  <c r="E77" i="2" l="1"/>
  <c r="H77" i="2" l="1"/>
  <c r="G77" i="2"/>
  <c r="F77" i="2"/>
  <c r="D78" i="2" l="1"/>
  <c r="E78" i="2" l="1"/>
  <c r="H78" i="2" l="1"/>
  <c r="G78" i="2"/>
  <c r="F78" i="2"/>
  <c r="D79" i="2" l="1"/>
  <c r="E79" i="2" l="1"/>
  <c r="H79" i="2" l="1"/>
  <c r="G79" i="2"/>
  <c r="F79" i="2"/>
  <c r="D80" i="2" l="1"/>
  <c r="E80" i="2" l="1"/>
  <c r="H80" i="2" l="1"/>
  <c r="G80" i="2"/>
  <c r="F80" i="2"/>
  <c r="D81" i="2" l="1"/>
  <c r="E81" i="2"/>
  <c r="G81" i="2" l="1"/>
  <c r="H81" i="2"/>
  <c r="F81" i="2"/>
  <c r="D82" i="2" l="1"/>
  <c r="E82" i="2"/>
  <c r="F82" i="2" l="1"/>
  <c r="G82" i="2"/>
  <c r="H82" i="2"/>
  <c r="D83" i="2" l="1"/>
  <c r="E83" i="2"/>
  <c r="H83" i="2" s="1"/>
  <c r="G83" i="2"/>
  <c r="D84" i="2" l="1"/>
  <c r="E84" i="2" s="1"/>
  <c r="F83" i="2"/>
  <c r="H84" i="2" l="1"/>
  <c r="G84" i="2"/>
  <c r="F84" i="2"/>
  <c r="D85" i="2"/>
  <c r="E85" i="2"/>
  <c r="H85" i="2" s="1"/>
  <c r="G85" i="2" l="1"/>
  <c r="F85" i="2"/>
  <c r="D86" i="2" l="1"/>
  <c r="E86" i="2"/>
  <c r="H86" i="2" s="1"/>
  <c r="G86" i="2"/>
  <c r="F86" i="2" l="1"/>
  <c r="D87" i="2"/>
  <c r="E87" i="2"/>
  <c r="H87" i="2" s="1"/>
  <c r="G87" i="2" l="1"/>
  <c r="F87" i="2"/>
  <c r="D88" i="2"/>
  <c r="E88" i="2" l="1"/>
  <c r="H88" i="2" l="1"/>
  <c r="G88" i="2"/>
  <c r="F88" i="2"/>
  <c r="D89" i="2" l="1"/>
  <c r="E89" i="2"/>
  <c r="H89" i="2" s="1"/>
  <c r="G89" i="2" l="1"/>
  <c r="D90" i="2"/>
  <c r="E90" i="2"/>
  <c r="H90" i="2" s="1"/>
  <c r="G90" i="2"/>
  <c r="F89" i="2"/>
  <c r="F90" i="2" s="1"/>
  <c r="D91" i="2" l="1"/>
  <c r="E91" i="2" l="1"/>
  <c r="H91" i="2" l="1"/>
  <c r="G91" i="2"/>
  <c r="F91" i="2"/>
  <c r="D92" i="2" l="1"/>
  <c r="E92" i="2"/>
  <c r="H92" i="2" s="1"/>
  <c r="F92" i="2" l="1"/>
  <c r="G92" i="2"/>
  <c r="D93" i="2" l="1"/>
  <c r="E93" i="2"/>
  <c r="H93" i="2" s="1"/>
  <c r="G93" i="2"/>
  <c r="D94" i="2" l="1"/>
  <c r="E94" i="2"/>
  <c r="H94" i="2" s="1"/>
  <c r="F93" i="2"/>
  <c r="G94" i="2" l="1"/>
  <c r="D95" i="2" s="1"/>
  <c r="E95" i="2"/>
  <c r="H95" i="2" s="1"/>
  <c r="F94" i="2"/>
  <c r="G95" i="2" l="1"/>
  <c r="F95" i="2"/>
  <c r="D96" i="2" l="1"/>
  <c r="E96" i="2" s="1"/>
  <c r="H96" i="2" s="1"/>
  <c r="F96" i="2" l="1"/>
  <c r="G96" i="2"/>
  <c r="D97" i="2" l="1"/>
  <c r="E97" i="2"/>
  <c r="H97" i="2" s="1"/>
  <c r="G97" i="2" l="1"/>
  <c r="F97" i="2"/>
  <c r="D98" i="2" l="1"/>
  <c r="E98" i="2"/>
  <c r="H98" i="2" s="1"/>
  <c r="G98" i="2"/>
  <c r="D99" i="2" l="1"/>
  <c r="E99" i="2"/>
  <c r="H99" i="2" s="1"/>
  <c r="F98" i="2"/>
  <c r="G99" i="2" l="1"/>
  <c r="D100" i="2"/>
  <c r="E100" i="2"/>
  <c r="H100" i="2" s="1"/>
  <c r="F99" i="2"/>
  <c r="F100" i="2" s="1"/>
  <c r="G100" i="2" l="1"/>
  <c r="D101" i="2"/>
  <c r="E101" i="2"/>
  <c r="H101" i="2" s="1"/>
  <c r="G101" i="2" l="1"/>
  <c r="F101" i="2"/>
  <c r="D102" i="2" l="1"/>
  <c r="E102" i="2"/>
  <c r="H102" i="2" s="1"/>
  <c r="G102" i="2"/>
  <c r="D103" i="2" l="1"/>
  <c r="E103" i="2"/>
  <c r="H103" i="2" s="1"/>
  <c r="G103" i="2"/>
  <c r="F102" i="2"/>
  <c r="F103" i="2" s="1"/>
  <c r="D104" i="2" l="1"/>
  <c r="E104" i="2" s="1"/>
  <c r="H104" i="2" l="1"/>
  <c r="G104" i="2"/>
  <c r="D105" i="2" s="1"/>
  <c r="F104" i="2"/>
  <c r="E105" i="2"/>
  <c r="H105" i="2" s="1"/>
  <c r="G105" i="2"/>
  <c r="D106" i="2" l="1"/>
  <c r="E106" i="2"/>
  <c r="H106" i="2" s="1"/>
  <c r="F105" i="2"/>
  <c r="G106" i="2" l="1"/>
  <c r="F106" i="2"/>
  <c r="D107" i="2" l="1"/>
  <c r="E107" i="2"/>
  <c r="H107" i="2" s="1"/>
  <c r="G107" i="2" l="1"/>
  <c r="D108" i="2"/>
  <c r="E108" i="2"/>
  <c r="H108" i="2" s="1"/>
  <c r="G108" i="2"/>
  <c r="F107" i="2"/>
  <c r="F108" i="2" s="1"/>
  <c r="D109" i="2" l="1"/>
  <c r="E109" i="2"/>
  <c r="H109" i="2" s="1"/>
  <c r="G109" i="2"/>
  <c r="F109" i="2" l="1"/>
  <c r="D110" i="2"/>
  <c r="E110" i="2"/>
  <c r="H110" i="2" s="1"/>
  <c r="G110" i="2"/>
  <c r="D111" i="2" l="1"/>
  <c r="E111" i="2"/>
  <c r="H111" i="2" s="1"/>
  <c r="G111" i="2"/>
  <c r="F110" i="2"/>
  <c r="D112" i="2" l="1"/>
  <c r="E112" i="2"/>
  <c r="H112" i="2" s="1"/>
  <c r="F111" i="2"/>
  <c r="F112" i="2" s="1"/>
  <c r="G112" i="2" l="1"/>
  <c r="D113" i="2" s="1"/>
  <c r="E113" i="2" s="1"/>
  <c r="H113" i="2" s="1"/>
  <c r="G113" i="2" l="1"/>
  <c r="F113" i="2"/>
  <c r="D114" i="2" l="1"/>
  <c r="E114" i="2"/>
  <c r="H114" i="2" s="1"/>
  <c r="G114" i="2" l="1"/>
  <c r="D115" i="2"/>
  <c r="E115" i="2"/>
  <c r="H115" i="2" s="1"/>
  <c r="F114" i="2"/>
  <c r="F115" i="2" s="1"/>
  <c r="G115" i="2" l="1"/>
  <c r="D116" i="2" l="1"/>
  <c r="E116" i="2" s="1"/>
  <c r="H116" i="2" l="1"/>
  <c r="G116" i="2"/>
  <c r="F116" i="2"/>
  <c r="D117" i="2" l="1"/>
  <c r="E117" i="2"/>
  <c r="H117" i="2" s="1"/>
  <c r="G117" i="2"/>
  <c r="D118" i="2" l="1"/>
  <c r="E118" i="2"/>
  <c r="H118" i="2" s="1"/>
  <c r="G118" i="2"/>
  <c r="F117" i="2"/>
  <c r="D119" i="2" l="1"/>
  <c r="E119" i="2"/>
  <c r="H119" i="2" s="1"/>
  <c r="G119" i="2"/>
  <c r="F118" i="2"/>
  <c r="D120" i="2" l="1"/>
  <c r="E120" i="2"/>
  <c r="H120" i="2" s="1"/>
  <c r="F119" i="2"/>
  <c r="F120" i="2" s="1"/>
  <c r="G120" i="2" l="1"/>
  <c r="D121" i="2"/>
  <c r="E121" i="2" s="1"/>
  <c r="H121" i="2" l="1"/>
  <c r="G121" i="2"/>
  <c r="F121" i="2"/>
  <c r="D122" i="2" l="1"/>
  <c r="E122" i="2"/>
  <c r="H122" i="2" s="1"/>
  <c r="G122" i="2"/>
  <c r="D123" i="2" l="1"/>
  <c r="E123" i="2" s="1"/>
  <c r="F122" i="2"/>
  <c r="H123" i="2" l="1"/>
  <c r="G123" i="2"/>
  <c r="F123" i="2"/>
  <c r="D124" i="2" l="1"/>
  <c r="E124" i="2"/>
  <c r="H124" i="2" s="1"/>
  <c r="G124" i="2"/>
  <c r="F124" i="2" l="1"/>
  <c r="D125" i="2"/>
  <c r="E125" i="2"/>
  <c r="H125" i="2" s="1"/>
  <c r="G125" i="2" l="1"/>
  <c r="F125" i="2"/>
  <c r="D126" i="2" l="1"/>
  <c r="E126" i="2"/>
  <c r="H126" i="2" s="1"/>
  <c r="G126" i="2" l="1"/>
  <c r="D127" i="2"/>
  <c r="E127" i="2"/>
  <c r="H127" i="2" s="1"/>
  <c r="G127" i="2"/>
  <c r="F126" i="2"/>
  <c r="F127" i="2" s="1"/>
  <c r="D128" i="2" l="1"/>
  <c r="E128" i="2"/>
  <c r="H128" i="2" s="1"/>
  <c r="F128" i="2" l="1"/>
  <c r="G128" i="2"/>
  <c r="D129" i="2" l="1"/>
  <c r="E129" i="2"/>
  <c r="H129" i="2" s="1"/>
  <c r="G129" i="2"/>
  <c r="D130" i="2" l="1"/>
  <c r="E130" i="2"/>
  <c r="H130" i="2" s="1"/>
  <c r="G130" i="2"/>
  <c r="F129" i="2"/>
  <c r="D131" i="2" l="1"/>
  <c r="E131" i="2"/>
  <c r="H131" i="2" s="1"/>
  <c r="F130" i="2"/>
  <c r="G131" i="2" l="1"/>
  <c r="F131" i="2"/>
  <c r="D132" i="2" l="1"/>
  <c r="E132" i="2"/>
  <c r="H132" i="2" s="1"/>
  <c r="F132" i="2" l="1"/>
  <c r="G132" i="2"/>
  <c r="D133" i="2" l="1"/>
  <c r="E133" i="2"/>
  <c r="H133" i="2" s="1"/>
  <c r="G133" i="2"/>
  <c r="D134" i="2" l="1"/>
  <c r="E134" i="2"/>
  <c r="H134" i="2" s="1"/>
  <c r="G134" i="2"/>
  <c r="F133" i="2"/>
  <c r="F134" i="2" s="1"/>
  <c r="D135" i="2" l="1"/>
  <c r="E135" i="2"/>
  <c r="H135" i="2" s="1"/>
  <c r="G135" i="2"/>
  <c r="F135" i="2" l="1"/>
  <c r="D136" i="2"/>
  <c r="E136" i="2" s="1"/>
  <c r="H136" i="2" s="1"/>
  <c r="G136" i="2"/>
  <c r="D137" i="2" l="1"/>
  <c r="E137" i="2" s="1"/>
  <c r="H137" i="2" s="1"/>
  <c r="F136" i="2"/>
  <c r="G137" i="2" l="1"/>
  <c r="F137" i="2"/>
  <c r="D138" i="2" l="1"/>
  <c r="E138" i="2" s="1"/>
  <c r="H138" i="2" l="1"/>
  <c r="G138" i="2"/>
  <c r="F138" i="2"/>
  <c r="D139" i="2"/>
  <c r="E139" i="2"/>
  <c r="H139" i="2" s="1"/>
  <c r="G139" i="2"/>
  <c r="D140" i="2" l="1"/>
  <c r="E140" i="2"/>
  <c r="H140" i="2" s="1"/>
  <c r="F139" i="2"/>
  <c r="G140" i="2" l="1"/>
  <c r="D141" i="2"/>
  <c r="E141" i="2"/>
  <c r="H141" i="2" s="1"/>
  <c r="F140" i="2"/>
  <c r="G141" i="2" l="1"/>
  <c r="F141" i="2"/>
  <c r="D142" i="2" l="1"/>
  <c r="E142" i="2"/>
  <c r="H142" i="2" s="1"/>
  <c r="G142" i="2" l="1"/>
  <c r="F142" i="2"/>
  <c r="D143" i="2" l="1"/>
  <c r="E143" i="2" s="1"/>
  <c r="H143" i="2" l="1"/>
  <c r="G143" i="2"/>
  <c r="D144" i="2"/>
  <c r="E144" i="2" s="1"/>
  <c r="F143" i="2"/>
  <c r="H144" i="2" l="1"/>
  <c r="G144" i="2"/>
  <c r="F144" i="2"/>
  <c r="D145" i="2"/>
  <c r="E145" i="2"/>
  <c r="H145" i="2" s="1"/>
  <c r="G145" i="2"/>
  <c r="F145" i="2"/>
  <c r="D146" i="2" l="1"/>
  <c r="E146" i="2"/>
  <c r="H146" i="2" s="1"/>
  <c r="G146" i="2" l="1"/>
  <c r="D147" i="2"/>
  <c r="E147" i="2"/>
  <c r="H147" i="2" s="1"/>
  <c r="F146" i="2"/>
  <c r="G147" i="2" l="1"/>
  <c r="D148" i="2"/>
  <c r="E148" i="2"/>
  <c r="H148" i="2" s="1"/>
  <c r="F147" i="2"/>
  <c r="F148" i="2" s="1"/>
  <c r="G148" i="2" l="1"/>
  <c r="D149" i="2"/>
  <c r="E149" i="2"/>
  <c r="H149" i="2" s="1"/>
  <c r="G149" i="2" l="1"/>
  <c r="D150" i="2"/>
  <c r="E150" i="2"/>
  <c r="H150" i="2" s="1"/>
  <c r="G150" i="2"/>
  <c r="F149" i="2"/>
  <c r="D151" i="2" l="1"/>
  <c r="E151" i="2"/>
  <c r="H151" i="2" s="1"/>
  <c r="G151" i="2"/>
  <c r="F150" i="2"/>
  <c r="F151" i="2" s="1"/>
  <c r="D152" i="2" l="1"/>
  <c r="E152" i="2"/>
  <c r="H152" i="2" s="1"/>
  <c r="G152" i="2" l="1"/>
  <c r="F152" i="2"/>
  <c r="D153" i="2"/>
  <c r="E153" i="2"/>
  <c r="H153" i="2" s="1"/>
  <c r="G153" i="2"/>
  <c r="D154" i="2" l="1"/>
  <c r="E154" i="2"/>
  <c r="H154" i="2" s="1"/>
  <c r="G154" i="2"/>
  <c r="F153" i="2"/>
  <c r="F154" i="2" s="1"/>
  <c r="D155" i="2" l="1"/>
  <c r="E155" i="2"/>
  <c r="H155" i="2" s="1"/>
  <c r="G155" i="2" l="1"/>
  <c r="D156" i="2"/>
  <c r="E156" i="2"/>
  <c r="H156" i="2" s="1"/>
  <c r="F155" i="2"/>
  <c r="F156" i="2" s="1"/>
  <c r="G156" i="2" l="1"/>
  <c r="D157" i="2" l="1"/>
  <c r="E157" i="2"/>
  <c r="H157" i="2" s="1"/>
  <c r="G157" i="2"/>
  <c r="D158" i="2" l="1"/>
  <c r="E158" i="2"/>
  <c r="H158" i="2" s="1"/>
  <c r="G158" i="2"/>
  <c r="F157" i="2"/>
  <c r="D159" i="2" l="1"/>
  <c r="E159" i="2" s="1"/>
  <c r="F158" i="2"/>
  <c r="H159" i="2" l="1"/>
  <c r="G159" i="2"/>
  <c r="F159" i="2"/>
  <c r="D160" i="2" l="1"/>
  <c r="E160" i="2"/>
  <c r="H160" i="2" s="1"/>
  <c r="G160" i="2" l="1"/>
  <c r="D161" i="2" s="1"/>
  <c r="F160" i="2"/>
  <c r="E161" i="2" l="1"/>
  <c r="H161" i="2" s="1"/>
  <c r="F161" i="2" l="1"/>
  <c r="G161" i="2"/>
  <c r="D162" i="2" l="1"/>
  <c r="E162" i="2"/>
  <c r="H162" i="2" s="1"/>
  <c r="G162" i="2" l="1"/>
  <c r="F162" i="2"/>
  <c r="D163" i="2" l="1"/>
  <c r="E163" i="2"/>
  <c r="H163" i="2" s="1"/>
  <c r="G163" i="2"/>
  <c r="F163" i="2" l="1"/>
  <c r="D164" i="2"/>
  <c r="E164" i="2" l="1"/>
  <c r="H164" i="2" l="1"/>
  <c r="G164" i="2"/>
  <c r="F164" i="2"/>
  <c r="D165" i="2" l="1"/>
  <c r="E165" i="2"/>
  <c r="H165" i="2" s="1"/>
  <c r="F165" i="2" l="1"/>
  <c r="G165" i="2"/>
  <c r="D166" i="2" l="1"/>
  <c r="E166" i="2"/>
  <c r="H166" i="2" s="1"/>
  <c r="G166" i="2" l="1"/>
  <c r="F166" i="2"/>
  <c r="D167" i="2" l="1"/>
  <c r="E167" i="2"/>
  <c r="H167" i="2" s="1"/>
  <c r="G167" i="2"/>
  <c r="F167" i="2" l="1"/>
  <c r="D168" i="2"/>
  <c r="E168" i="2"/>
  <c r="H168" i="2" s="1"/>
  <c r="G168" i="2" l="1"/>
  <c r="F168" i="2"/>
  <c r="D169" i="2"/>
  <c r="E169" i="2"/>
  <c r="H169" i="2" s="1"/>
  <c r="G169" i="2"/>
  <c r="F169" i="2" l="1"/>
  <c r="D170" i="2"/>
  <c r="E170" i="2"/>
  <c r="H170" i="2" s="1"/>
  <c r="G170" i="2" l="1"/>
  <c r="F170" i="2"/>
  <c r="D171" i="2"/>
  <c r="E171" i="2"/>
  <c r="H171" i="2" s="1"/>
  <c r="G171" i="2"/>
  <c r="F171" i="2" l="1"/>
  <c r="D172" i="2"/>
  <c r="E172" i="2"/>
  <c r="H172" i="2" s="1"/>
  <c r="G172" i="2"/>
  <c r="F172" i="2" l="1"/>
  <c r="D173" i="2"/>
  <c r="E173" i="2"/>
  <c r="H173" i="2" s="1"/>
  <c r="F173" i="2" l="1"/>
  <c r="G173" i="2"/>
  <c r="D174" i="2" l="1"/>
  <c r="E174" i="2" l="1"/>
  <c r="F174" i="2" s="1"/>
  <c r="H174" i="2" l="1"/>
  <c r="G174" i="2"/>
  <c r="D175" i="2" l="1"/>
  <c r="E175" i="2" s="1"/>
  <c r="H175" i="2" l="1"/>
  <c r="G175" i="2"/>
  <c r="F175" i="2"/>
  <c r="D176" i="2" l="1"/>
  <c r="E176" i="2"/>
  <c r="H176" i="2" s="1"/>
  <c r="G176" i="2"/>
  <c r="F176" i="2" l="1"/>
  <c r="D177" i="2"/>
  <c r="E177" i="2"/>
  <c r="H177" i="2" s="1"/>
  <c r="F177" i="2" l="1"/>
  <c r="G177" i="2"/>
  <c r="D178" i="2"/>
  <c r="E178" i="2" s="1"/>
  <c r="H178" i="2" s="1"/>
  <c r="G178" i="2"/>
  <c r="F178" i="2"/>
  <c r="D179" i="2" l="1"/>
  <c r="E179" i="2" l="1"/>
  <c r="H179" i="2" l="1"/>
  <c r="G179" i="2"/>
  <c r="F179" i="2"/>
  <c r="D180" i="2" l="1"/>
  <c r="E180" i="2"/>
  <c r="H180" i="2" s="1"/>
  <c r="G180" i="2" l="1"/>
  <c r="F180" i="2"/>
  <c r="D181" i="2"/>
  <c r="E181" i="2"/>
  <c r="H181" i="2" s="1"/>
  <c r="F181" i="2" l="1"/>
  <c r="G181" i="2"/>
  <c r="D182" i="2" l="1"/>
  <c r="E182" i="2"/>
  <c r="H182" i="2" s="1"/>
  <c r="G182" i="2"/>
  <c r="D183" i="2" l="1"/>
  <c r="E183" i="2" s="1"/>
  <c r="F182" i="2"/>
  <c r="H183" i="2" l="1"/>
  <c r="G183" i="2"/>
  <c r="F183" i="2"/>
  <c r="D184" i="2" l="1"/>
  <c r="E184" i="2"/>
  <c r="H184" i="2" s="1"/>
  <c r="G184" i="2"/>
  <c r="F184" i="2" l="1"/>
  <c r="D185" i="2"/>
  <c r="E185" i="2"/>
  <c r="H185" i="2" s="1"/>
  <c r="G185" i="2"/>
  <c r="F185" i="2" l="1"/>
  <c r="D186" i="2"/>
  <c r="E186" i="2"/>
  <c r="H186" i="2" s="1"/>
  <c r="F186" i="2" l="1"/>
  <c r="G186" i="2"/>
  <c r="D187" i="2" l="1"/>
  <c r="E187" i="2" l="1"/>
  <c r="H187" i="2" l="1"/>
  <c r="G187" i="2"/>
  <c r="F187" i="2"/>
  <c r="D188" i="2" l="1"/>
  <c r="E188" i="2"/>
  <c r="H188" i="2" s="1"/>
  <c r="G188" i="2"/>
  <c r="F188" i="2" l="1"/>
  <c r="D189" i="2"/>
  <c r="E189" i="2"/>
  <c r="H189" i="2" s="1"/>
  <c r="F189" i="2" l="1"/>
  <c r="G189" i="2"/>
  <c r="D190" i="2"/>
  <c r="E190" i="2"/>
  <c r="H190" i="2" s="1"/>
  <c r="G190" i="2"/>
  <c r="F190" i="2" l="1"/>
  <c r="D191" i="2"/>
  <c r="E191" i="2"/>
  <c r="H191" i="2" s="1"/>
  <c r="F191" i="2" l="1"/>
  <c r="G191" i="2"/>
  <c r="D192" i="2" l="1"/>
  <c r="E192" i="2"/>
  <c r="H192" i="2" s="1"/>
  <c r="G192" i="2"/>
  <c r="D193" i="2" l="1"/>
  <c r="E193" i="2"/>
  <c r="H193" i="2" s="1"/>
  <c r="G193" i="2"/>
  <c r="F192" i="2"/>
  <c r="F193" i="2" s="1"/>
  <c r="D194" i="2" l="1"/>
  <c r="E194" i="2" l="1"/>
  <c r="H194" i="2" l="1"/>
  <c r="G194" i="2"/>
  <c r="F194" i="2"/>
  <c r="D195" i="2" l="1"/>
  <c r="E195" i="2"/>
  <c r="H195" i="2" s="1"/>
  <c r="F195" i="2" l="1"/>
  <c r="G195" i="2"/>
  <c r="D196" i="2" l="1"/>
  <c r="E196" i="2"/>
  <c r="H196" i="2" s="1"/>
  <c r="G196" i="2" l="1"/>
  <c r="D197" i="2"/>
  <c r="E197" i="2"/>
  <c r="H197" i="2" s="1"/>
  <c r="G197" i="2"/>
  <c r="F196" i="2"/>
  <c r="F197" i="2" s="1"/>
  <c r="D198" i="2" l="1"/>
  <c r="E198" i="2"/>
  <c r="H198" i="2" s="1"/>
  <c r="G198" i="2"/>
  <c r="D199" i="2" l="1"/>
  <c r="E199" i="2"/>
  <c r="H199" i="2" s="1"/>
  <c r="G199" i="2"/>
  <c r="F198" i="2"/>
  <c r="F199" i="2" s="1"/>
  <c r="D200" i="2" l="1"/>
  <c r="E200" i="2"/>
  <c r="H200" i="2" s="1"/>
  <c r="F200" i="2" l="1"/>
  <c r="G200" i="2"/>
  <c r="E201" i="2" l="1"/>
  <c r="H201" i="2" s="1"/>
  <c r="D201" i="2"/>
  <c r="F201" i="2" l="1"/>
  <c r="G201" i="2"/>
  <c r="D202" i="2" l="1"/>
  <c r="E202" i="2"/>
  <c r="H202" i="2" s="1"/>
  <c r="F202" i="2"/>
  <c r="G202" i="2" l="1"/>
  <c r="D203" i="2" l="1"/>
  <c r="E203" i="2"/>
  <c r="H203" i="2" s="1"/>
  <c r="G203" i="2"/>
  <c r="D204" i="2" l="1"/>
  <c r="E204" i="2"/>
  <c r="H204" i="2" s="1"/>
  <c r="G204" i="2"/>
  <c r="F203" i="2"/>
  <c r="F204" i="2" s="1"/>
  <c r="D205" i="2" l="1"/>
  <c r="E205" i="2" l="1"/>
  <c r="H205" i="2" l="1"/>
  <c r="G205" i="2"/>
  <c r="F205" i="2"/>
  <c r="D206" i="2" l="1"/>
  <c r="E206" i="2"/>
  <c r="H206" i="2" s="1"/>
  <c r="F206" i="2" l="1"/>
  <c r="G206" i="2"/>
  <c r="D207" i="2" l="1"/>
  <c r="E207" i="2" l="1"/>
  <c r="H207" i="2" l="1"/>
  <c r="G207" i="2"/>
  <c r="F207" i="2"/>
  <c r="D208" i="2" l="1"/>
  <c r="E208" i="2" s="1"/>
  <c r="H208" i="2" s="1"/>
  <c r="G208" i="2"/>
  <c r="D209" i="2" l="1"/>
  <c r="E209" i="2" s="1"/>
  <c r="F208" i="2"/>
  <c r="H209" i="2" l="1"/>
  <c r="G209" i="2"/>
  <c r="F209" i="2"/>
  <c r="D210" i="2" l="1"/>
  <c r="E210" i="2"/>
  <c r="H210" i="2" s="1"/>
  <c r="F210" i="2" l="1"/>
  <c r="G210" i="2"/>
  <c r="D211" i="2" l="1"/>
  <c r="E211" i="2" l="1"/>
  <c r="F211" i="2"/>
  <c r="H211" i="2" l="1"/>
  <c r="G211" i="2"/>
  <c r="D212" i="2" l="1"/>
  <c r="E212" i="2"/>
  <c r="H212" i="2" s="1"/>
  <c r="G212" i="2"/>
  <c r="D213" i="2" l="1"/>
  <c r="E213" i="2" s="1"/>
  <c r="F212" i="2"/>
  <c r="H213" i="2" l="1"/>
  <c r="G213" i="2"/>
  <c r="F213" i="2"/>
  <c r="D214" i="2" l="1"/>
  <c r="E214" i="2"/>
  <c r="H214" i="2" s="1"/>
  <c r="F214" i="2" l="1"/>
  <c r="G214" i="2"/>
  <c r="D215" i="2" l="1"/>
  <c r="E215" i="2" l="1"/>
  <c r="F215" i="2"/>
  <c r="H215" i="2" l="1"/>
  <c r="G215" i="2"/>
  <c r="D216" i="2" l="1"/>
  <c r="E216" i="2"/>
  <c r="H216" i="2" s="1"/>
  <c r="G216" i="2"/>
  <c r="D217" i="2" l="1"/>
  <c r="E217" i="2" s="1"/>
  <c r="F216" i="2"/>
  <c r="H217" i="2" l="1"/>
  <c r="G217" i="2"/>
  <c r="F217" i="2"/>
  <c r="D218" i="2" l="1"/>
  <c r="E218" i="2"/>
  <c r="H218" i="2" s="1"/>
  <c r="G218" i="2"/>
  <c r="F218" i="2" l="1"/>
  <c r="D219" i="2"/>
  <c r="E219" i="2"/>
  <c r="H219" i="2" s="1"/>
  <c r="G219" i="2"/>
  <c r="F219" i="2" l="1"/>
  <c r="D220" i="2"/>
  <c r="E220" i="2"/>
  <c r="H220" i="2" s="1"/>
  <c r="G220" i="2"/>
  <c r="F220" i="2" l="1"/>
  <c r="D221" i="2"/>
  <c r="E221" i="2" l="1"/>
  <c r="H221" i="2" l="1"/>
  <c r="G221" i="2"/>
  <c r="F221" i="2"/>
  <c r="D222" i="2" l="1"/>
  <c r="E222" i="2"/>
  <c r="H222" i="2" s="1"/>
  <c r="G222" i="2"/>
  <c r="F222" i="2" l="1"/>
  <c r="D223" i="2"/>
  <c r="E223" i="2"/>
  <c r="H223" i="2" s="1"/>
  <c r="G223" i="2"/>
  <c r="F223" i="2" l="1"/>
  <c r="D224" i="2"/>
  <c r="E224" i="2"/>
  <c r="H224" i="2" s="1"/>
  <c r="G224" i="2"/>
  <c r="F224" i="2" l="1"/>
  <c r="D225" i="2"/>
  <c r="E225" i="2"/>
  <c r="H225" i="2" s="1"/>
  <c r="G225" i="2"/>
  <c r="F225" i="2" l="1"/>
  <c r="D226" i="2"/>
  <c r="E226" i="2"/>
  <c r="H226" i="2" s="1"/>
  <c r="G226" i="2"/>
  <c r="F226" i="2" l="1"/>
  <c r="D227" i="2"/>
  <c r="E227" i="2"/>
  <c r="H227" i="2" s="1"/>
  <c r="G227" i="2"/>
  <c r="F227" i="2" l="1"/>
  <c r="D228" i="2"/>
  <c r="E228" i="2" s="1"/>
  <c r="H228" i="2" s="1"/>
  <c r="G228" i="2"/>
  <c r="D229" i="2" l="1"/>
  <c r="E229" i="2"/>
  <c r="H229" i="2" s="1"/>
  <c r="G229" i="2"/>
  <c r="F228" i="2"/>
  <c r="F229" i="2" l="1"/>
  <c r="D230" i="2"/>
  <c r="E230" i="2"/>
  <c r="H230" i="2" s="1"/>
  <c r="G230" i="2" l="1"/>
  <c r="F230" i="2"/>
  <c r="D231" i="2"/>
  <c r="E231" i="2"/>
  <c r="H231" i="2" s="1"/>
  <c r="G231" i="2"/>
  <c r="F231" i="2" l="1"/>
  <c r="D232" i="2"/>
  <c r="E232" i="2"/>
  <c r="H232" i="2" s="1"/>
  <c r="G232" i="2" l="1"/>
  <c r="F232" i="2"/>
  <c r="D233" i="2"/>
  <c r="E233" i="2"/>
  <c r="H233" i="2" s="1"/>
  <c r="G233" i="2"/>
  <c r="F233" i="2" l="1"/>
  <c r="D234" i="2"/>
  <c r="E234" i="2"/>
  <c r="H234" i="2" s="1"/>
  <c r="G234" i="2"/>
  <c r="F234" i="2" l="1"/>
  <c r="D235" i="2"/>
  <c r="E235" i="2" s="1"/>
  <c r="H235" i="2" s="1"/>
  <c r="G235" i="2" l="1"/>
  <c r="D236" i="2"/>
  <c r="E236" i="2" s="1"/>
  <c r="H236" i="2" s="1"/>
  <c r="G236" i="2"/>
  <c r="F235" i="2"/>
  <c r="F236" i="2" s="1"/>
  <c r="D237" i="2" l="1"/>
  <c r="E237" i="2" l="1"/>
  <c r="H237" i="2" l="1"/>
  <c r="G237" i="2"/>
  <c r="F237" i="2"/>
  <c r="D238" i="2" l="1"/>
  <c r="E238" i="2"/>
  <c r="H238" i="2" s="1"/>
  <c r="G238" i="2" l="1"/>
  <c r="F238" i="2"/>
  <c r="D239" i="2"/>
  <c r="E239" i="2"/>
  <c r="H239" i="2" s="1"/>
  <c r="G239" i="2"/>
  <c r="F239" i="2" l="1"/>
  <c r="D240" i="2"/>
  <c r="E240" i="2" l="1"/>
  <c r="H240" i="2" l="1"/>
  <c r="G240" i="2"/>
  <c r="F240" i="2"/>
  <c r="D241" i="2" l="1"/>
  <c r="E241" i="2"/>
  <c r="H241" i="2" s="1"/>
  <c r="G241" i="2"/>
  <c r="F241" i="2" l="1"/>
  <c r="D242" i="2"/>
  <c r="E242" i="2" s="1"/>
  <c r="H242" i="2" s="1"/>
  <c r="G242" i="2"/>
  <c r="F24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<sst xmlns="http://schemas.openxmlformats.org/spreadsheetml/2006/main" count="28" uniqueCount="28">
  <si>
    <t>Capital</t>
  </si>
  <si>
    <t>Yrs</t>
  </si>
  <si>
    <t>Equity</t>
  </si>
  <si>
    <t>Principal</t>
  </si>
  <si>
    <t>Payment Period Yrs</t>
  </si>
  <si>
    <t>Montly Payments</t>
  </si>
  <si>
    <t>Balance</t>
  </si>
  <si>
    <t>Interest</t>
  </si>
  <si>
    <t>Out-of-Pocket</t>
  </si>
  <si>
    <t>Months</t>
  </si>
  <si>
    <t>Year</t>
  </si>
  <si>
    <t xml:space="preserve">Capital </t>
  </si>
  <si>
    <t xml:space="preserve">Interest </t>
  </si>
  <si>
    <t xml:space="preserve">Principal </t>
  </si>
  <si>
    <t xml:space="preserve">Out-Of-Pocket </t>
  </si>
  <si>
    <t>Debt Balance</t>
  </si>
  <si>
    <t xml:space="preserve">Equity </t>
  </si>
  <si>
    <t>Total</t>
  </si>
  <si>
    <t xml:space="preserve"> </t>
  </si>
  <si>
    <t>Expected Sale Price</t>
  </si>
  <si>
    <t>GM%</t>
  </si>
  <si>
    <t>Interest Rate</t>
  </si>
  <si>
    <t>Initial Valuation (,000)</t>
  </si>
  <si>
    <t>Down Payment (,000)</t>
  </si>
  <si>
    <t>Annual Return</t>
  </si>
  <si>
    <t>Scenarios</t>
  </si>
  <si>
    <t>#1</t>
  </si>
  <si>
    <t>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</si>
</sst>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164" formatCode="#,##0.0,"/>
    <numFmt numFmtId="165" formatCode="_(&quot;$&quot;* #,##0_);_(&quot;$&quot;* \(#,##0\);_(&quot;$&quot;* &quot;-&quot;??_);_(@_)"/>
    <numFmt numFmtId="166" formatCode="_(&quot;$&quot;* #,##0.0_);_(&quot;$&quot;* \(#,##0.0\);_(&quot;$&quot;* &quot;-&quot;?_);_(@_)"/>
    <numFmt numFmtId="167" formatCode="_(&quot;$&quot;* #,##0.000_);_(&quot;$&quot;* \(#,##0.000\);_(&quot;$&quot;* &quot;-&quot;??_);_(@_)"/>
    <numFmt numFmtId="170" formatCode="&quot;$&quot;#,##0.0,"/>
    <numFmt numFmtId="171" formatCode="0.0%"/>
    <numFmt numFmtId="175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164" fontId="0" fillId="0" borderId="0" xfId="0" applyNumberFormat="1"/>
    <xf numFmtId="165" fontId="0" fillId="0" borderId="0" xfId="1" applyNumberFormat="1" applyFont="1"/>
    <xf numFmtId="166" fontId="0" fillId="0" borderId="0" xfId="0" applyNumberFormat="1"/>
    <xf numFmtId="44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horizontal="right"/>
    </xf>
    <xf numFmtId="9" fontId="0" fillId="0" borderId="0" xfId="2" applyFont="1" applyAlignment="1">
      <alignment horizontal="center" vertical="center"/>
    </xf>
    <xf numFmtId="165" fontId="0" fillId="0" borderId="0" xfId="1" applyNumberFormat="1" applyFont="1" applyBorder="1"/>
    <xf numFmtId="167" fontId="0" fillId="0" borderId="0" xfId="1" applyNumberFormat="1" applyFont="1" applyBorder="1"/>
    <xf numFmtId="0" fontId="2" fillId="0" borderId="0" xfId="0" applyFont="1" applyAlignment="1">
      <alignment horizontal="right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5" fontId="0" fillId="0" borderId="0" xfId="1" applyNumberFormat="1" applyFont="1" applyBorder="1" applyAlignment="1">
      <alignment horizontal="center" vertical="center"/>
    </xf>
    <xf numFmtId="170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170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right"/>
    </xf>
    <xf numFmtId="0" fontId="0" fillId="2" borderId="0" xfId="0" applyFill="1"/>
    <xf numFmtId="170" fontId="0" fillId="2" borderId="0" xfId="1" applyNumberFormat="1" applyFont="1" applyFill="1" applyBorder="1" applyAlignment="1">
      <alignment horizontal="center" vertical="center"/>
    </xf>
    <xf numFmtId="171" fontId="0" fillId="2" borderId="0" xfId="2" applyNumberFormat="1" applyFont="1" applyFill="1" applyAlignment="1">
      <alignment horizontal="center" vertical="center"/>
    </xf>
    <xf numFmtId="175" fontId="0" fillId="0" borderId="0" xfId="0" applyNumberFormat="1"/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225"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70" formatCode="&quot;$&quot;#,##0.0,"/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#,##0.0,"/>
    </dxf>
    <dxf>
      <numFmt numFmtId="170" formatCode="&quot;$&quot;#,##0.0,"/>
      <alignment horizontal="center" vertic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916.789337268521" createdVersion="8" refreshedVersion="8" minRefreshableVersion="3" recordCount="242" xr:uid="{0374EE15-3F9A-4339-8D70-DF3800FFD4C8}">
  <cacheSource type="worksheet">
    <worksheetSource ref="A1:H1048576" sheet="CALC"/>
  </cacheSource>
  <cacheFields count="10">
    <cacheField name="Year" numFmtId="0">
      <sharedItems containsBlank="1" containsMixedTypes="1" containsNumber="1" containsInteger="1" minValue="0" maxValue="20" count="23">
        <n v="0"/>
        <n v="1"/>
        <n v="2"/>
        <n v="3"/>
        <n v="4"/>
        <n v="5"/>
        <s v=""/>
        <m/>
        <n v="6" u="1"/>
        <n v="7" u="1"/>
        <n v="8" u="1"/>
        <n v="9" u="1"/>
        <n v="10" u="1"/>
        <n v="11" u="1"/>
        <n v="12" u="1"/>
        <n v="13" u="1"/>
        <n v="14" u="1"/>
        <n v="15" u="1"/>
        <n v="16" u="1"/>
        <n v="17" u="1"/>
        <n v="18" u="1"/>
        <n v="19" u="1"/>
        <n v="20" u="1"/>
      </sharedItems>
    </cacheField>
    <cacheField name="Months" numFmtId="0">
      <sharedItems containsString="0" containsBlank="1" containsNumber="1" containsInteger="1" minValue="0" maxValue="240" count="24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m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203" u="1"/>
        <n v="204" u="1"/>
        <n v="205" u="1"/>
        <n v="206" u="1"/>
        <n v="207" u="1"/>
        <n v="208" u="1"/>
        <n v="209" u="1"/>
        <n v="210" u="1"/>
        <n v="211" u="1"/>
        <n v="212" u="1"/>
        <n v="213" u="1"/>
        <n v="214" u="1"/>
        <n v="215" u="1"/>
        <n v="216" u="1"/>
        <n v="217" u="1"/>
        <n v="218" u="1"/>
        <n v="219" u="1"/>
        <n v="220" u="1"/>
        <n v="221" u="1"/>
        <n v="222" u="1"/>
        <n v="223" u="1"/>
        <n v="224" u="1"/>
        <n v="225" u="1"/>
        <n v="226" u="1"/>
        <n v="227" u="1"/>
        <n v="228" u="1"/>
        <n v="229" u="1"/>
        <n v="230" u="1"/>
        <n v="231" u="1"/>
        <n v="232" u="1"/>
        <n v="233" u="1"/>
        <n v="234" u="1"/>
        <n v="235" u="1"/>
        <n v="236" u="1"/>
        <n v="237" u="1"/>
        <n v="238" u="1"/>
        <n v="239" u="1"/>
        <n v="240" u="1"/>
      </sharedItems>
    </cacheField>
    <cacheField name="Capital" numFmtId="0">
      <sharedItems containsString="0" containsBlank="1" containsNumber="1" containsInteger="1" minValue="261000" maxValue="261000"/>
    </cacheField>
    <cacheField name="Interest" numFmtId="0">
      <sharedItems containsString="0" containsBlank="1" containsNumber="1" minValue="-3.9917722460813814E-11" maxValue="2685"/>
    </cacheField>
    <cacheField name="Principal" numFmtId="0">
      <sharedItems containsString="0" containsBlank="1" containsNumber="1" minValue="0" maxValue="4478.2497630074813"/>
    </cacheField>
    <cacheField name="Out-of-Pocket" numFmtId="0">
      <sharedItems containsString="0" containsBlank="1" containsNumber="1" minValue="261000" maxValue="533725.41056715336"/>
    </cacheField>
    <cacheField name="Balance" numFmtId="0">
      <sharedItems containsString="0" containsBlank="1" containsNumber="1" minValue="-2.661181497387588E-9" maxValue="179000"/>
    </cacheField>
    <cacheField name="Equity" numFmtId="0">
      <sharedItems containsString="0" containsBlank="1" containsNumber="1" minValue="261000" maxValue="440000.00000000268"/>
    </cacheField>
    <cacheField name="Out_Pocket_Metric" numFmtId="0" formula="Capital+Interest+Principal" databaseField="0"/>
    <cacheField name="Equity_Metric" numFmtId="0" formula="Capital+Principal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">
  <r>
    <x v="0"/>
    <x v="0"/>
    <n v="261000"/>
    <m/>
    <m/>
    <n v="261000"/>
    <n v="179000"/>
    <n v="261000"/>
  </r>
  <r>
    <x v="1"/>
    <x v="1"/>
    <m/>
    <n v="2685"/>
    <n v="1860.4235094525538"/>
    <n v="265545.42350945255"/>
    <n v="177139.57649054745"/>
    <n v="262860.42350945255"/>
  </r>
  <r>
    <x v="1"/>
    <x v="2"/>
    <m/>
    <n v="2657.0936473582119"/>
    <n v="1888.3298620943419"/>
    <n v="270090.84701890516"/>
    <n v="175251.24662845311"/>
    <n v="264748.75337154692"/>
  </r>
  <r>
    <x v="1"/>
    <x v="3"/>
    <m/>
    <n v="2628.7686994267965"/>
    <n v="1916.6548100257573"/>
    <n v="274636.27052835771"/>
    <n v="173334.59181842735"/>
    <n v="266665.40818157268"/>
  </r>
  <r>
    <x v="1"/>
    <x v="4"/>
    <m/>
    <n v="2600.01887727641"/>
    <n v="1945.4046321761439"/>
    <n v="279181.69403781026"/>
    <n v="171389.18718625119"/>
    <n v="268610.81281374884"/>
  </r>
  <r>
    <x v="1"/>
    <x v="5"/>
    <m/>
    <n v="2570.8378077937678"/>
    <n v="1974.5857016587861"/>
    <n v="283727.11754726281"/>
    <n v="169414.60148459239"/>
    <n v="270585.39851540764"/>
  </r>
  <r>
    <x v="1"/>
    <x v="6"/>
    <m/>
    <n v="2541.2190222688855"/>
    <n v="2004.2044871836683"/>
    <n v="288272.54105671536"/>
    <n v="167410.39699740874"/>
    <n v="272589.60300259129"/>
  </r>
  <r>
    <x v="1"/>
    <x v="7"/>
    <m/>
    <n v="2511.1559549611311"/>
    <n v="2034.2675544914227"/>
    <n v="292817.96456616791"/>
    <n v="165376.12944291733"/>
    <n v="274623.8705570827"/>
  </r>
  <r>
    <x v="1"/>
    <x v="8"/>
    <m/>
    <n v="2480.6419416437598"/>
    <n v="2064.7815678087941"/>
    <n v="297363.38807562052"/>
    <n v="163311.34787510853"/>
    <n v="276688.65212489152"/>
  </r>
  <r>
    <x v="1"/>
    <x v="9"/>
    <m/>
    <n v="2449.6702181266278"/>
    <n v="2095.7532913259261"/>
    <n v="301908.81158507307"/>
    <n v="161215.5945837826"/>
    <n v="278784.40541621746"/>
  </r>
  <r>
    <x v="1"/>
    <x v="10"/>
    <m/>
    <n v="2418.2339187567391"/>
    <n v="2127.1895906958148"/>
    <n v="306454.23509452562"/>
    <n v="159088.40499308679"/>
    <n v="280911.5950069133"/>
  </r>
  <r>
    <x v="1"/>
    <x v="11"/>
    <m/>
    <n v="2386.3260748963016"/>
    <n v="2159.0974345562522"/>
    <n v="310999.65860397817"/>
    <n v="156929.30755853053"/>
    <n v="283070.69244146952"/>
  </r>
  <r>
    <x v="1"/>
    <x v="12"/>
    <m/>
    <n v="2353.9396133779578"/>
    <n v="2191.483896074596"/>
    <n v="315545.08211343072"/>
    <n v="154737.82366245595"/>
    <n v="285262.17633754411"/>
  </r>
  <r>
    <x v="2"/>
    <x v="13"/>
    <m/>
    <n v="2321.0673549368389"/>
    <n v="2224.3561545157149"/>
    <n v="320090.50562288327"/>
    <n v="152513.46750794022"/>
    <n v="287486.53249205981"/>
  </r>
  <r>
    <x v="2"/>
    <x v="14"/>
    <m/>
    <n v="2287.7020126191032"/>
    <n v="2257.7214968334506"/>
    <n v="324635.92913233582"/>
    <n v="150255.74601110676"/>
    <n v="289744.25398889324"/>
  </r>
  <r>
    <x v="2"/>
    <x v="15"/>
    <m/>
    <n v="2253.8361901666012"/>
    <n v="2291.5873192859526"/>
    <n v="329181.35264178837"/>
    <n v="147964.1586918208"/>
    <n v="292035.8413081792"/>
  </r>
  <r>
    <x v="2"/>
    <x v="16"/>
    <m/>
    <n v="2219.462380377312"/>
    <n v="2325.9611290752418"/>
    <n v="333726.77615124092"/>
    <n v="145638.19756274557"/>
    <n v="294361.80243725446"/>
  </r>
  <r>
    <x v="2"/>
    <x v="17"/>
    <m/>
    <n v="2184.5729634411832"/>
    <n v="2360.8505460113706"/>
    <n v="338272.19966069347"/>
    <n v="143277.34701673419"/>
    <n v="296722.65298326581"/>
  </r>
  <r>
    <x v="2"/>
    <x v="18"/>
    <m/>
    <n v="2149.1602052510129"/>
    <n v="2396.2633042015409"/>
    <n v="342817.62317014602"/>
    <n v="140881.08371253265"/>
    <n v="299118.91628746735"/>
  </r>
  <r>
    <x v="2"/>
    <x v="19"/>
    <m/>
    <n v="2113.2162556879898"/>
    <n v="2432.207253764564"/>
    <n v="347363.04667959857"/>
    <n v="138448.87645876809"/>
    <n v="301551.12354123191"/>
  </r>
  <r>
    <x v="2"/>
    <x v="20"/>
    <m/>
    <n v="2076.7331468815214"/>
    <n v="2468.6903625710324"/>
    <n v="351908.47018905112"/>
    <n v="135980.18609619705"/>
    <n v="304019.81390380295"/>
  </r>
  <r>
    <x v="2"/>
    <x v="21"/>
    <m/>
    <n v="2039.7027914429557"/>
    <n v="2505.7207180095984"/>
    <n v="356453.89369850367"/>
    <n v="133474.46537818745"/>
    <n v="306525.53462181252"/>
  </r>
  <r>
    <x v="2"/>
    <x v="22"/>
    <m/>
    <n v="2002.1169806728119"/>
    <n v="2543.3065287797417"/>
    <n v="360999.31720795622"/>
    <n v="130931.15884940772"/>
    <n v="309068.84115059226"/>
  </r>
  <r>
    <x v="2"/>
    <x v="23"/>
    <m/>
    <n v="1963.9673827411154"/>
    <n v="2581.4561267114386"/>
    <n v="365544.74071740877"/>
    <n v="128349.70272269628"/>
    <n v="311650.2972773037"/>
  </r>
  <r>
    <x v="2"/>
    <x v="24"/>
    <m/>
    <n v="1925.2455408404442"/>
    <n v="2620.1779686121099"/>
    <n v="370090.16422686132"/>
    <n v="125729.52475408417"/>
    <n v="314270.47524591582"/>
  </r>
  <r>
    <x v="3"/>
    <x v="25"/>
    <m/>
    <n v="1885.9428713112623"/>
    <n v="2659.4806381412918"/>
    <n v="374635.58773631387"/>
    <n v="123070.04411594287"/>
    <n v="316929.9558840571"/>
  </r>
  <r>
    <x v="3"/>
    <x v="26"/>
    <m/>
    <n v="1846.0506617391429"/>
    <n v="2699.3728477134109"/>
    <n v="379181.01124576642"/>
    <n v="120370.67126822946"/>
    <n v="319629.32873177051"/>
  </r>
  <r>
    <x v="3"/>
    <x v="27"/>
    <m/>
    <n v="1805.5600690234417"/>
    <n v="2739.8634404291124"/>
    <n v="383726.43475521897"/>
    <n v="117630.80782780035"/>
    <n v="322369.1921721996"/>
  </r>
  <r>
    <x v="3"/>
    <x v="28"/>
    <m/>
    <n v="1764.4621174170052"/>
    <n v="2780.9613920355487"/>
    <n v="388271.85826467152"/>
    <n v="114849.8464357648"/>
    <n v="325150.15356423514"/>
  </r>
  <r>
    <x v="3"/>
    <x v="29"/>
    <m/>
    <n v="1722.7476965364719"/>
    <n v="2822.6758129160817"/>
    <n v="392817.28177412407"/>
    <n v="112027.17062284872"/>
    <n v="327972.82937715121"/>
  </r>
  <r>
    <x v="3"/>
    <x v="30"/>
    <m/>
    <n v="1680.4075593427306"/>
    <n v="2865.0159501098233"/>
    <n v="397362.70528357662"/>
    <n v="109162.15467273889"/>
    <n v="330837.84532726102"/>
  </r>
  <r>
    <x v="3"/>
    <x v="31"/>
    <m/>
    <n v="1637.4323200910833"/>
    <n v="2907.9911893614708"/>
    <n v="401908.12879302917"/>
    <n v="106254.16348337742"/>
    <n v="333745.83651662251"/>
  </r>
  <r>
    <x v="3"/>
    <x v="32"/>
    <m/>
    <n v="1593.8124522506612"/>
    <n v="2951.6110572018924"/>
    <n v="406453.55230248172"/>
    <n v="103302.55242617552"/>
    <n v="336697.44757382438"/>
  </r>
  <r>
    <x v="3"/>
    <x v="33"/>
    <m/>
    <n v="1549.5382863926327"/>
    <n v="2995.8852230599214"/>
    <n v="410998.97581193427"/>
    <n v="100306.6672031156"/>
    <n v="339693.33279688429"/>
  </r>
  <r>
    <x v="3"/>
    <x v="34"/>
    <m/>
    <n v="1504.600008046734"/>
    <n v="3040.82350140582"/>
    <n v="415544.39932138682"/>
    <n v="97265.843701709789"/>
    <n v="342734.15629829012"/>
  </r>
  <r>
    <x v="3"/>
    <x v="35"/>
    <m/>
    <n v="1458.9876555256469"/>
    <n v="3086.4358539269069"/>
    <n v="420089.82283083937"/>
    <n v="94179.407847782888"/>
    <n v="345820.59215221705"/>
  </r>
  <r>
    <x v="3"/>
    <x v="36"/>
    <m/>
    <n v="1412.6911177167433"/>
    <n v="3132.7323917358108"/>
    <n v="424635.24634029192"/>
    <n v="91046.675456047073"/>
    <n v="348953.32454395288"/>
  </r>
  <r>
    <x v="4"/>
    <x v="37"/>
    <m/>
    <n v="1365.7001318407063"/>
    <n v="3179.7233776118474"/>
    <n v="429180.66984974447"/>
    <n v="87866.952078435221"/>
    <n v="352133.04792156472"/>
  </r>
  <r>
    <x v="4"/>
    <x v="38"/>
    <m/>
    <n v="1318.0042811765281"/>
    <n v="3227.4192282760259"/>
    <n v="433726.09335919702"/>
    <n v="84639.532850159201"/>
    <n v="355360.46714984073"/>
  </r>
  <r>
    <x v="4"/>
    <x v="39"/>
    <m/>
    <n v="1269.592992752388"/>
    <n v="3275.8305167001658"/>
    <n v="438271.51686864957"/>
    <n v="81363.702333459034"/>
    <n v="358636.29766654089"/>
  </r>
  <r>
    <x v="4"/>
    <x v="40"/>
    <m/>
    <n v="1220.4555350018854"/>
    <n v="3324.9679744506684"/>
    <n v="442816.94037810212"/>
    <n v="78038.734359008362"/>
    <n v="361961.26564099157"/>
  </r>
  <r>
    <x v="4"/>
    <x v="41"/>
    <m/>
    <n v="1170.5810153851255"/>
    <n v="3374.8424940674286"/>
    <n v="447362.36388755467"/>
    <n v="74663.891864940932"/>
    <n v="365336.10813505901"/>
  </r>
  <r>
    <x v="4"/>
    <x v="42"/>
    <m/>
    <n v="1119.958377974114"/>
    <n v="3425.4651314784396"/>
    <n v="451907.78739700723"/>
    <n v="71238.426733462489"/>
    <n v="368761.57326653745"/>
  </r>
  <r>
    <x v="4"/>
    <x v="43"/>
    <m/>
    <n v="1068.5764010019373"/>
    <n v="3476.8471084506164"/>
    <n v="456453.21090645978"/>
    <n v="67761.579625011873"/>
    <n v="372238.42037498805"/>
  </r>
  <r>
    <x v="4"/>
    <x v="44"/>
    <m/>
    <n v="1016.423694375178"/>
    <n v="3528.9998150773758"/>
    <n v="460998.63441591238"/>
    <n v="64232.579809934497"/>
    <n v="375767.42019006546"/>
  </r>
  <r>
    <x v="4"/>
    <x v="45"/>
    <m/>
    <n v="963.48869714901741"/>
    <n v="3581.9348123035365"/>
    <n v="465544.05792536493"/>
    <n v="60650.64499763096"/>
    <n v="379349.35500236897"/>
  </r>
  <r>
    <x v="4"/>
    <x v="46"/>
    <m/>
    <n v="909.75967496446435"/>
    <n v="3635.6638344880894"/>
    <n v="470089.48143481748"/>
    <n v="57014.981163142867"/>
    <n v="382985.01883685705"/>
  </r>
  <r>
    <x v="4"/>
    <x v="47"/>
    <m/>
    <n v="855.22471744714301"/>
    <n v="3690.1987920054107"/>
    <n v="474634.90494427003"/>
    <n v="53324.782371137459"/>
    <n v="386675.21762886248"/>
  </r>
  <r>
    <x v="4"/>
    <x v="48"/>
    <m/>
    <n v="799.87173556706182"/>
    <n v="3745.5517738854919"/>
    <n v="479180.32845372258"/>
    <n v="49579.230597251968"/>
    <n v="390420.76940274797"/>
  </r>
  <r>
    <x v="5"/>
    <x v="49"/>
    <m/>
    <n v="743.68845895877951"/>
    <n v="3801.7350504937745"/>
    <n v="483725.75196317513"/>
    <n v="45777.495546758197"/>
    <n v="394222.50445324177"/>
  </r>
  <r>
    <x v="5"/>
    <x v="50"/>
    <m/>
    <n v="686.66243320137289"/>
    <n v="3858.7610762511808"/>
    <n v="488271.17547262768"/>
    <n v="41918.734470507014"/>
    <n v="398081.26552949293"/>
  </r>
  <r>
    <x v="5"/>
    <x v="51"/>
    <m/>
    <n v="628.78101705760525"/>
    <n v="3916.6424923949485"/>
    <n v="492816.59898208024"/>
    <n v="38002.091978112068"/>
    <n v="401997.90802188788"/>
  </r>
  <r>
    <x v="5"/>
    <x v="52"/>
    <m/>
    <n v="570.03137967168107"/>
    <n v="3975.3921297808729"/>
    <n v="497362.02249153284"/>
    <n v="34026.699848331198"/>
    <n v="405973.30015166878"/>
  </r>
  <r>
    <x v="5"/>
    <x v="53"/>
    <m/>
    <n v="510.40049772496792"/>
    <n v="4035.023011727586"/>
    <n v="501907.44600098539"/>
    <n v="29991.676836603612"/>
    <n v="410008.32316339639"/>
  </r>
  <r>
    <x v="5"/>
    <x v="54"/>
    <m/>
    <n v="449.87515254905412"/>
    <n v="4095.5483569034996"/>
    <n v="506452.86951043794"/>
    <n v="25896.128479700114"/>
    <n v="414103.87152029987"/>
  </r>
  <r>
    <x v="5"/>
    <x v="55"/>
    <m/>
    <n v="388.44192719550171"/>
    <n v="4156.9815822570517"/>
    <n v="510998.29301989049"/>
    <n v="21739.146897443061"/>
    <n v="418260.8531025569"/>
  </r>
  <r>
    <x v="5"/>
    <x v="56"/>
    <m/>
    <n v="326.08720346164591"/>
    <n v="4219.3363059909079"/>
    <n v="515543.71652934304"/>
    <n v="17519.810591452151"/>
    <n v="422480.18940854783"/>
  </r>
  <r>
    <x v="5"/>
    <x v="57"/>
    <m/>
    <n v="262.79715887178224"/>
    <n v="4282.6263505807719"/>
    <n v="520089.14003879559"/>
    <n v="13237.184240871378"/>
    <n v="426762.8157591286"/>
  </r>
  <r>
    <x v="5"/>
    <x v="58"/>
    <m/>
    <n v="198.55776361307065"/>
    <n v="4346.8657458394828"/>
    <n v="524634.56354824814"/>
    <n v="8890.3184950318955"/>
    <n v="431109.68150496809"/>
  </r>
  <r>
    <x v="5"/>
    <x v="59"/>
    <m/>
    <n v="133.35477742547843"/>
    <n v="4412.0687320270754"/>
    <n v="529179.98705770075"/>
    <n v="4478.2497630048201"/>
    <n v="435521.75023699517"/>
  </r>
  <r>
    <x v="5"/>
    <x v="60"/>
    <m/>
    <n v="67.173746445072297"/>
    <n v="4478.2497630074813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6"/>
    <x v="61"/>
    <m/>
    <n v="-3.9917722460813814E-11"/>
    <n v="0"/>
    <n v="533725.41056715336"/>
    <n v="-2.661181497387588E-9"/>
    <n v="440000.00000000268"/>
  </r>
  <r>
    <x v="7"/>
    <x v="6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0F93E4-67F1-4313-B04C-C8E9DA56E7F2}" name="PivotTable3" cacheId="170" dataOnRows="1" applyNumberFormats="0" applyBorderFormats="0" applyFontFormats="0" applyPatternFormats="0" applyAlignmentFormats="0" applyWidthHeightFormats="1" dataCaption="Yrs" grandTotalCaption="Total" updatedVersion="8" minRefreshableVersion="3" useAutoFormatting="1" itemPrintTitles="1" mergeItem="1" createdVersion="8" indent="0" outline="1" outlineData="1" multipleFieldFilters="0" colHeaderCaption=" ">
  <location ref="B13:I21" firstHeaderRow="1" firstDataRow="3" firstDataCol="1"/>
  <pivotFields count="10">
    <pivotField axis="axisCol" showAll="0" sortType="ascending">
      <items count="24">
        <item sd="0" x="0"/>
        <item sd="0" x="1"/>
        <item sd="0" x="2"/>
        <item sd="0" x="3"/>
        <item sd="0" x="4"/>
        <item sd="0" x="5"/>
        <item sd="0" m="1" x="8"/>
        <item sd="0" m="1" x="9"/>
        <item sd="0" m="1" x="10"/>
        <item sd="0" m="1" x="11"/>
        <item sd="0" m="1" x="12"/>
        <item sd="0" m="1" x="13"/>
        <item sd="0" m="1" x="14"/>
        <item sd="0" m="1" x="15"/>
        <item sd="0" m="1" x="16"/>
        <item sd="0" m="1" x="17"/>
        <item sd="0" m="1" x="18"/>
        <item sd="0" m="1" x="19"/>
        <item sd="0" m="1" x="20"/>
        <item sd="0" m="1" x="21"/>
        <item sd="0" m="1" x="22"/>
        <item h="1" x="6"/>
        <item h="1" sd="0" x="7"/>
        <item t="default" sd="0"/>
      </items>
    </pivotField>
    <pivotField axis="axisCol" showAll="0">
      <items count="2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t="default"/>
      </items>
    </pivotField>
    <pivotField dataField="1" showAll="0"/>
    <pivotField dataField="1" showAll="0"/>
    <pivotField dataField="1" showAll="0"/>
    <pivotField dataField="1" showAll="0"/>
    <pivotField dataField="1" numFmtId="164" showAll="0"/>
    <pivotField dataField="1" numFmtId="164" showAll="0"/>
    <pivotField dragToRow="0" dragToCol="0" dragToPage="0" showAll="0" defaultSubtotal="0"/>
    <pivotField dragToRow="0" dragToCol="0" dragToPage="0" showAll="0" defaultSubtotal="0"/>
  </pivotFields>
  <rowFields count="1">
    <field x="-2"/>
  </rowFields>
  <rowItems count="6">
    <i>
      <x/>
    </i>
    <i i="1">
      <x v="1"/>
    </i>
    <i i="2">
      <x v="2"/>
    </i>
    <i i="3">
      <x v="3"/>
    </i>
    <i i="4">
      <x v="4"/>
    </i>
    <i i="5">
      <x v="5"/>
    </i>
  </rowItems>
  <colFields count="2">
    <field x="0"/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6">
    <dataField name="Capital " fld="2" baseField="0" baseItem="0"/>
    <dataField name="Interest " fld="3" baseField="0" baseItem="0"/>
    <dataField name="Principal " fld="4" baseField="0" baseItem="0"/>
    <dataField name="Out-Of-Pocket " fld="5" subtotal="max" baseField="0" baseItem="0"/>
    <dataField name="Debt Balance" fld="6" subtotal="min" baseField="0" baseItem="0" numFmtId="164"/>
    <dataField name="Equity " fld="7" subtotal="max" baseField="0" baseItem="0" numFmtId="164"/>
  </dataFields>
  <formats count="14">
    <format dxfId="224">
      <pivotArea field="-2" type="button" dataOnly="0" labelOnly="1" outline="0" axis="axisRow" fieldPosition="0"/>
    </format>
    <format dxfId="223">
      <pivotArea outline="0" collapsedLevelsAreSubtotals="1" fieldPosition="0"/>
    </format>
    <format dxfId="221">
      <pivotArea dataOnly="0" labelOnly="1" fieldPosition="0">
        <references count="1">
          <reference field="0" count="1">
            <x v="0"/>
          </reference>
        </references>
      </pivotArea>
    </format>
    <format dxfId="220">
      <pivotArea dataOnly="0" labelOnly="1" fieldPosition="0">
        <references count="1">
          <reference field="0" count="1">
            <x v="1"/>
          </reference>
        </references>
      </pivotArea>
    </format>
    <format dxfId="219">
      <pivotArea dataOnly="0" labelOnly="1" fieldPosition="0">
        <references count="1">
          <reference field="0" count="1">
            <x v="2"/>
          </reference>
        </references>
      </pivotArea>
    </format>
    <format dxfId="218">
      <pivotArea dataOnly="0" labelOnly="1" fieldPosition="0">
        <references count="1">
          <reference field="0" count="1">
            <x v="3"/>
          </reference>
        </references>
      </pivotArea>
    </format>
    <format dxfId="217">
      <pivotArea dataOnly="0" labelOnly="1" fieldPosition="0">
        <references count="1">
          <reference field="0" count="1">
            <x v="4"/>
          </reference>
        </references>
      </pivotArea>
    </format>
    <format dxfId="216">
      <pivotArea dataOnly="0" labelOnly="1" fieldPosition="0">
        <references count="1">
          <reference field="0" count="1">
            <x v="5"/>
          </reference>
        </references>
      </pivotArea>
    </format>
    <format dxfId="215">
      <pivotArea dataOnly="0" labelOnly="1" fieldPosition="0">
        <references count="1">
          <reference field="0" count="1">
            <x v="0"/>
          </reference>
        </references>
      </pivotArea>
    </format>
    <format dxfId="214">
      <pivotArea dataOnly="0" labelOnly="1" fieldPosition="0">
        <references count="1">
          <reference field="0" count="1">
            <x v="1"/>
          </reference>
        </references>
      </pivotArea>
    </format>
    <format dxfId="213">
      <pivotArea dataOnly="0" labelOnly="1" fieldPosition="0">
        <references count="1">
          <reference field="0" count="1">
            <x v="2"/>
          </reference>
        </references>
      </pivotArea>
    </format>
    <format dxfId="212">
      <pivotArea dataOnly="0" labelOnly="1" fieldPosition="0">
        <references count="1">
          <reference field="0" count="1">
            <x v="3"/>
          </reference>
        </references>
      </pivotArea>
    </format>
    <format dxfId="211">
      <pivotArea dataOnly="0" labelOnly="1" fieldPosition="0">
        <references count="1">
          <reference field="0" count="1">
            <x v="4"/>
          </reference>
        </references>
      </pivotArea>
    </format>
    <format dxfId="210">
      <pivotArea dataOnly="0" labelOnly="1" fieldPosition="0">
        <references count="1">
          <reference field="0" count="1">
            <x v="5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CA540-D98B-4DD0-AF9A-652F56211A70}">
  <dimension ref="A2:O35"/>
  <sheetViews>
    <sheetView tabSelected="1" workbookViewId="0">
      <selection activeCell="K7" sqref="K7"/>
    </sheetView>
  </sheetViews>
  <sheetFormatPr defaultRowHeight="15" x14ac:dyDescent="0.25"/>
  <cols>
    <col min="2" max="2" width="14" bestFit="1" customWidth="1"/>
    <col min="3" max="3" width="7.85546875" customWidth="1"/>
    <col min="4" max="16" width="6.5703125" bestFit="1" customWidth="1"/>
    <col min="17" max="24" width="8.140625" bestFit="1" customWidth="1"/>
    <col min="25" max="35" width="6.5703125" bestFit="1" customWidth="1"/>
    <col min="36" max="36" width="6.85546875" bestFit="1" customWidth="1"/>
    <col min="37" max="48" width="6.5703125" bestFit="1" customWidth="1"/>
    <col min="49" max="49" width="7.85546875" bestFit="1" customWidth="1"/>
    <col min="50" max="61" width="6.5703125" bestFit="1" customWidth="1"/>
    <col min="62" max="62" width="7.85546875" bestFit="1" customWidth="1"/>
    <col min="63" max="74" width="6.5703125" bestFit="1" customWidth="1"/>
    <col min="75" max="75" width="7.85546875" bestFit="1" customWidth="1"/>
    <col min="76" max="87" width="6.5703125" bestFit="1" customWidth="1"/>
    <col min="88" max="88" width="7.85546875" bestFit="1" customWidth="1"/>
    <col min="89" max="100" width="6.5703125" bestFit="1" customWidth="1"/>
    <col min="101" max="101" width="7.85546875" bestFit="1" customWidth="1"/>
    <col min="102" max="113" width="6.5703125" bestFit="1" customWidth="1"/>
    <col min="114" max="114" width="7.85546875" bestFit="1" customWidth="1"/>
    <col min="115" max="126" width="6.5703125" bestFit="1" customWidth="1"/>
    <col min="127" max="127" width="7.85546875" bestFit="1" customWidth="1"/>
    <col min="128" max="139" width="6.5703125" bestFit="1" customWidth="1"/>
    <col min="140" max="140" width="7.85546875" bestFit="1" customWidth="1"/>
    <col min="141" max="152" width="6.5703125" bestFit="1" customWidth="1"/>
    <col min="153" max="153" width="7.85546875" bestFit="1" customWidth="1"/>
    <col min="154" max="165" width="6.5703125" bestFit="1" customWidth="1"/>
    <col min="166" max="166" width="7.85546875" bestFit="1" customWidth="1"/>
    <col min="167" max="167" width="6.5703125" bestFit="1" customWidth="1"/>
    <col min="168" max="204" width="8.140625" bestFit="1" customWidth="1"/>
  </cols>
  <sheetData>
    <row r="2" spans="1:15" x14ac:dyDescent="0.25">
      <c r="B2" s="12" t="s">
        <v>22</v>
      </c>
      <c r="C2" s="16">
        <v>440000</v>
      </c>
    </row>
    <row r="3" spans="1:15" x14ac:dyDescent="0.25">
      <c r="A3" s="24"/>
      <c r="B3" s="23" t="s">
        <v>23</v>
      </c>
      <c r="C3" s="25">
        <f>10000*26.1</f>
        <v>261000</v>
      </c>
    </row>
    <row r="4" spans="1:15" x14ac:dyDescent="0.25">
      <c r="B4" s="12" t="s">
        <v>4</v>
      </c>
      <c r="C4" s="13">
        <v>5</v>
      </c>
    </row>
    <row r="5" spans="1:15" x14ac:dyDescent="0.25">
      <c r="B5" s="12" t="s">
        <v>21</v>
      </c>
      <c r="C5" s="14">
        <v>0.18</v>
      </c>
      <c r="O5" s="4"/>
    </row>
    <row r="6" spans="1:15" x14ac:dyDescent="0.25">
      <c r="B6" s="12" t="s">
        <v>5</v>
      </c>
      <c r="C6" s="15">
        <f>(C2-C3)*(C5/12)*((1+(C5/12))^(C4*12))/((1+(C5/12))^(C4*12)-1)</f>
        <v>4545.4235094525538</v>
      </c>
      <c r="O6" s="5"/>
    </row>
    <row r="7" spans="1:15" x14ac:dyDescent="0.25">
      <c r="B7" s="1"/>
      <c r="C7" s="10"/>
      <c r="D7" s="11"/>
      <c r="O7" s="5"/>
    </row>
    <row r="8" spans="1:15" x14ac:dyDescent="0.25">
      <c r="B8" s="1" t="s">
        <v>25</v>
      </c>
      <c r="C8" s="28" t="s">
        <v>26</v>
      </c>
      <c r="D8" s="29" t="s">
        <v>27</v>
      </c>
      <c r="O8" s="6"/>
    </row>
    <row r="9" spans="1:15" x14ac:dyDescent="0.25">
      <c r="A9" s="24"/>
      <c r="B9" s="23" t="s">
        <v>19</v>
      </c>
      <c r="C9" s="25">
        <v>880000</v>
      </c>
      <c r="D9" s="25">
        <v>600000</v>
      </c>
      <c r="E9" s="27"/>
    </row>
    <row r="10" spans="1:15" x14ac:dyDescent="0.25">
      <c r="A10" s="24"/>
      <c r="B10" s="23" t="s">
        <v>24</v>
      </c>
      <c r="C10" s="26">
        <f>(C9/GETPIVOTDATA("Out-Of-Pocket ",$B$13))^(1/C4)-1</f>
        <v>0.10517985080724834</v>
      </c>
      <c r="D10" s="26">
        <f>(D9/C3)^(1/C4)-1</f>
        <v>0.18114209744912113</v>
      </c>
    </row>
    <row r="11" spans="1:15" x14ac:dyDescent="0.25">
      <c r="B11" s="12" t="s">
        <v>20</v>
      </c>
      <c r="C11" s="9">
        <f>(C9-GETPIVOTDATA("Out-Of-Pocket ",$B$13))/C9</f>
        <v>0.3934938516282348</v>
      </c>
      <c r="D11" s="9">
        <f>(D9-C3)/D9</f>
        <v>0.56499999999999995</v>
      </c>
    </row>
    <row r="13" spans="1:15" x14ac:dyDescent="0.25">
      <c r="B13" s="18"/>
      <c r="C13" s="19" t="s">
        <v>18</v>
      </c>
      <c r="D13" s="18"/>
      <c r="E13" s="18"/>
      <c r="F13" s="18"/>
      <c r="G13" s="18"/>
      <c r="H13" s="18"/>
      <c r="I13" s="18"/>
    </row>
    <row r="14" spans="1:15" x14ac:dyDescent="0.25">
      <c r="B14" s="18"/>
      <c r="C14" s="22">
        <v>0</v>
      </c>
      <c r="D14" s="22">
        <v>1</v>
      </c>
      <c r="E14" s="22">
        <v>2</v>
      </c>
      <c r="F14" s="22">
        <v>3</v>
      </c>
      <c r="G14" s="22">
        <v>4</v>
      </c>
      <c r="H14" s="22">
        <v>5</v>
      </c>
      <c r="I14" s="22" t="s">
        <v>17</v>
      </c>
    </row>
    <row r="15" spans="1:15" x14ac:dyDescent="0.25">
      <c r="B15" s="8" t="s">
        <v>1</v>
      </c>
      <c r="C15" s="21"/>
      <c r="D15" s="21"/>
      <c r="E15" s="21"/>
      <c r="F15" s="21"/>
      <c r="G15" s="21"/>
      <c r="H15" s="21"/>
      <c r="I15" s="21"/>
    </row>
    <row r="16" spans="1:15" x14ac:dyDescent="0.25">
      <c r="B16" s="7" t="s">
        <v>11</v>
      </c>
      <c r="C16" s="20">
        <v>261000</v>
      </c>
      <c r="D16" s="20"/>
      <c r="E16" s="20"/>
      <c r="F16" s="20"/>
      <c r="G16" s="20"/>
      <c r="H16" s="20"/>
      <c r="I16" s="20">
        <v>261000</v>
      </c>
    </row>
    <row r="17" spans="2:9" x14ac:dyDescent="0.25">
      <c r="B17" s="7" t="s">
        <v>12</v>
      </c>
      <c r="C17" s="20"/>
      <c r="D17" s="20">
        <v>30282.905775886589</v>
      </c>
      <c r="E17" s="20">
        <v>25536.783205058895</v>
      </c>
      <c r="F17" s="20">
        <v>19862.232815393552</v>
      </c>
      <c r="G17" s="20">
        <v>13077.637254635549</v>
      </c>
      <c r="H17" s="20">
        <v>4965.8515161760124</v>
      </c>
      <c r="I17" s="20">
        <v>93725.410567150611</v>
      </c>
    </row>
    <row r="18" spans="2:9" x14ac:dyDescent="0.25">
      <c r="B18" s="7" t="s">
        <v>13</v>
      </c>
      <c r="C18" s="20"/>
      <c r="D18" s="20">
        <v>24262.176337544057</v>
      </c>
      <c r="E18" s="20">
        <v>29008.298908371755</v>
      </c>
      <c r="F18" s="20">
        <v>34682.849298037087</v>
      </c>
      <c r="G18" s="20">
        <v>41467.444858795097</v>
      </c>
      <c r="H18" s="20">
        <v>49579.230597254631</v>
      </c>
      <c r="I18" s="20">
        <v>179000.00000000268</v>
      </c>
    </row>
    <row r="19" spans="2:9" x14ac:dyDescent="0.25">
      <c r="B19" s="7" t="s">
        <v>14</v>
      </c>
      <c r="C19" s="20">
        <v>261000</v>
      </c>
      <c r="D19" s="20">
        <v>315545.08211343072</v>
      </c>
      <c r="E19" s="20">
        <v>370090.16422686132</v>
      </c>
      <c r="F19" s="20">
        <v>424635.24634029192</v>
      </c>
      <c r="G19" s="20">
        <v>479180.32845372258</v>
      </c>
      <c r="H19" s="20">
        <v>533725.41056715336</v>
      </c>
      <c r="I19" s="20">
        <v>533725.41056715336</v>
      </c>
    </row>
    <row r="20" spans="2:9" x14ac:dyDescent="0.25">
      <c r="B20" s="7" t="s">
        <v>15</v>
      </c>
      <c r="C20" s="20">
        <v>179000</v>
      </c>
      <c r="D20" s="20">
        <v>154737.82366245595</v>
      </c>
      <c r="E20" s="20">
        <v>125729.52475408417</v>
      </c>
      <c r="F20" s="20">
        <v>91046.675456047073</v>
      </c>
      <c r="G20" s="20">
        <v>49579.230597251968</v>
      </c>
      <c r="H20" s="20">
        <v>-2.661181497387588E-9</v>
      </c>
      <c r="I20" s="20">
        <v>-2.661181497387588E-9</v>
      </c>
    </row>
    <row r="21" spans="2:9" x14ac:dyDescent="0.25">
      <c r="B21" s="7" t="s">
        <v>16</v>
      </c>
      <c r="C21" s="20">
        <v>261000</v>
      </c>
      <c r="D21" s="20">
        <v>285262.17633754411</v>
      </c>
      <c r="E21" s="20">
        <v>314270.47524591582</v>
      </c>
      <c r="F21" s="20">
        <v>348953.32454395288</v>
      </c>
      <c r="G21" s="20">
        <v>390420.76940274797</v>
      </c>
      <c r="H21" s="20">
        <v>440000.00000000268</v>
      </c>
      <c r="I21" s="20">
        <v>440000.00000000268</v>
      </c>
    </row>
    <row r="33" spans="3:15" x14ac:dyDescent="0.25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 x14ac:dyDescent="0.25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 ht="34.5" customHeight="1" x14ac:dyDescent="0.25"/>
  </sheetData>
  <mergeCells count="7">
    <mergeCell ref="C14:C15"/>
    <mergeCell ref="D14:D15"/>
    <mergeCell ref="E14:E15"/>
    <mergeCell ref="F14:F15"/>
    <mergeCell ref="G14:G15"/>
    <mergeCell ref="H14:H15"/>
    <mergeCell ref="I14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7FBD4-4D52-4893-A07E-9DC5C6534E6B}">
  <dimension ref="A1:H242"/>
  <sheetViews>
    <sheetView topLeftCell="A62" workbookViewId="0">
      <selection activeCell="G87" sqref="G87"/>
    </sheetView>
  </sheetViews>
  <sheetFormatPr defaultRowHeight="15" x14ac:dyDescent="0.25"/>
  <sheetData>
    <row r="1" spans="1:8" ht="30" x14ac:dyDescent="0.25">
      <c r="A1" s="17" t="s">
        <v>10</v>
      </c>
      <c r="B1" s="17" t="s">
        <v>9</v>
      </c>
      <c r="C1" s="17" t="s">
        <v>0</v>
      </c>
      <c r="D1" s="17" t="s">
        <v>7</v>
      </c>
      <c r="E1" s="17" t="s">
        <v>3</v>
      </c>
      <c r="F1" s="17" t="s">
        <v>8</v>
      </c>
      <c r="G1" s="17" t="s">
        <v>6</v>
      </c>
      <c r="H1" s="17" t="s">
        <v>2</v>
      </c>
    </row>
    <row r="2" spans="1:8" x14ac:dyDescent="0.25">
      <c r="A2">
        <f>IF(ISBLANK(B2),"",CEILING(B2/12,1))</f>
        <v>0</v>
      </c>
      <c r="B2">
        <v>0</v>
      </c>
      <c r="C2" s="3">
        <f>Sheet1!C3</f>
        <v>261000</v>
      </c>
      <c r="F2">
        <f>C2+D2+E2</f>
        <v>261000</v>
      </c>
      <c r="G2" s="3">
        <f>Sheet1!C2-C2</f>
        <v>179000</v>
      </c>
      <c r="H2" s="3">
        <f>C2+E2</f>
        <v>261000</v>
      </c>
    </row>
    <row r="3" spans="1:8" x14ac:dyDescent="0.25">
      <c r="A3">
        <f>IF(ISBLANK(B3),"",CEILING(B3/12,1))</f>
        <v>1</v>
      </c>
      <c r="B3" s="2" cm="1">
        <f t="array" ref="B3:B62">_xlfn.SEQUENCE(12*Sheet1!C4,1,1,1)</f>
        <v>1</v>
      </c>
      <c r="D3" s="3">
        <f>G2*Sheet1!$C$5/12</f>
        <v>2685</v>
      </c>
      <c r="E3" s="3">
        <f>IF(G2&lt;0.01,0,Sheet1!$C$6-D3)</f>
        <v>1860.4235094525538</v>
      </c>
      <c r="F3" s="3">
        <f>F2+D3+E3</f>
        <v>265545.42350945255</v>
      </c>
      <c r="G3" s="3">
        <f>G2-E3</f>
        <v>177139.57649054745</v>
      </c>
      <c r="H3" s="3">
        <f>E3+H2</f>
        <v>262860.42350945255</v>
      </c>
    </row>
    <row r="4" spans="1:8" x14ac:dyDescent="0.25">
      <c r="A4">
        <f>IF(ISBLANK(B4),"",CEILING(B4/12,1))</f>
        <v>1</v>
      </c>
      <c r="B4" s="2">
        <v>2</v>
      </c>
      <c r="D4" s="3">
        <f>G3*Sheet1!$C$5/12</f>
        <v>2657.0936473582119</v>
      </c>
      <c r="E4" s="3">
        <f>IF(G3&lt;0.01,0,Sheet1!$C$6-D4)</f>
        <v>1888.3298620943419</v>
      </c>
      <c r="F4" s="3">
        <f>F3+D4+E4</f>
        <v>270090.84701890516</v>
      </c>
      <c r="G4" s="3">
        <f>G3-E4</f>
        <v>175251.24662845311</v>
      </c>
      <c r="H4" s="3">
        <f>E4+H3</f>
        <v>264748.75337154692</v>
      </c>
    </row>
    <row r="5" spans="1:8" x14ac:dyDescent="0.25">
      <c r="A5">
        <f>IF(ISBLANK(B5),"",CEILING(B5/12,1))</f>
        <v>1</v>
      </c>
      <c r="B5" s="2">
        <v>3</v>
      </c>
      <c r="D5" s="3">
        <f>G4*Sheet1!$C$5/12</f>
        <v>2628.7686994267965</v>
      </c>
      <c r="E5" s="3">
        <f>IF(G4&lt;0.01,0,Sheet1!$C$6-D5)</f>
        <v>1916.6548100257573</v>
      </c>
      <c r="F5" s="3">
        <f>F4+D5+E5</f>
        <v>274636.27052835771</v>
      </c>
      <c r="G5" s="3">
        <f>G4-E5</f>
        <v>173334.59181842735</v>
      </c>
      <c r="H5" s="3">
        <f>E5+H4</f>
        <v>266665.40818157268</v>
      </c>
    </row>
    <row r="6" spans="1:8" x14ac:dyDescent="0.25">
      <c r="A6">
        <f>IF(ISBLANK(B6),"",CEILING(B6/12,1))</f>
        <v>1</v>
      </c>
      <c r="B6" s="2">
        <v>4</v>
      </c>
      <c r="D6" s="3">
        <f>G5*Sheet1!$C$5/12</f>
        <v>2600.01887727641</v>
      </c>
      <c r="E6" s="3">
        <f>IF(G5&lt;0.01,0,Sheet1!$C$6-D6)</f>
        <v>1945.4046321761439</v>
      </c>
      <c r="F6" s="3">
        <f>F5+D6+E6</f>
        <v>279181.69403781026</v>
      </c>
      <c r="G6" s="3">
        <f>G5-E6</f>
        <v>171389.18718625119</v>
      </c>
      <c r="H6" s="3">
        <f>E6+H5</f>
        <v>268610.81281374884</v>
      </c>
    </row>
    <row r="7" spans="1:8" x14ac:dyDescent="0.25">
      <c r="A7">
        <f>IF(ISBLANK(B7),"",CEILING(B7/12,1))</f>
        <v>1</v>
      </c>
      <c r="B7" s="2">
        <v>5</v>
      </c>
      <c r="D7" s="3">
        <f>G6*Sheet1!$C$5/12</f>
        <v>2570.8378077937678</v>
      </c>
      <c r="E7" s="3">
        <f>IF(G6&lt;0.01,0,Sheet1!$C$6-D7)</f>
        <v>1974.5857016587861</v>
      </c>
      <c r="F7" s="3">
        <f>F6+D7+E7</f>
        <v>283727.11754726281</v>
      </c>
      <c r="G7" s="3">
        <f>G6-E7</f>
        <v>169414.60148459239</v>
      </c>
      <c r="H7" s="3">
        <f>E7+H6</f>
        <v>270585.39851540764</v>
      </c>
    </row>
    <row r="8" spans="1:8" x14ac:dyDescent="0.25">
      <c r="A8">
        <f>IF(ISBLANK(B8),"",CEILING(B8/12,1))</f>
        <v>1</v>
      </c>
      <c r="B8" s="2">
        <v>6</v>
      </c>
      <c r="D8" s="3">
        <f>G7*Sheet1!$C$5/12</f>
        <v>2541.2190222688855</v>
      </c>
      <c r="E8" s="3">
        <f>IF(G7&lt;0.01,0,Sheet1!$C$6-D8)</f>
        <v>2004.2044871836683</v>
      </c>
      <c r="F8" s="3">
        <f>F7+D8+E8</f>
        <v>288272.54105671536</v>
      </c>
      <c r="G8" s="3">
        <f>G7-E8</f>
        <v>167410.39699740874</v>
      </c>
      <c r="H8" s="3">
        <f>E8+H7</f>
        <v>272589.60300259129</v>
      </c>
    </row>
    <row r="9" spans="1:8" x14ac:dyDescent="0.25">
      <c r="A9">
        <f>IF(ISBLANK(B9),"",CEILING(B9/12,1))</f>
        <v>1</v>
      </c>
      <c r="B9" s="2">
        <v>7</v>
      </c>
      <c r="D9" s="3">
        <f>G8*Sheet1!$C$5/12</f>
        <v>2511.1559549611311</v>
      </c>
      <c r="E9" s="3">
        <f>IF(G8&lt;0.01,0,Sheet1!$C$6-D9)</f>
        <v>2034.2675544914227</v>
      </c>
      <c r="F9" s="3">
        <f>F8+D9+E9</f>
        <v>292817.96456616791</v>
      </c>
      <c r="G9" s="3">
        <f>G8-E9</f>
        <v>165376.12944291733</v>
      </c>
      <c r="H9" s="3">
        <f>E9+H8</f>
        <v>274623.8705570827</v>
      </c>
    </row>
    <row r="10" spans="1:8" x14ac:dyDescent="0.25">
      <c r="A10">
        <f>IF(ISBLANK(B10),"",CEILING(B10/12,1))</f>
        <v>1</v>
      </c>
      <c r="B10" s="2">
        <v>8</v>
      </c>
      <c r="D10" s="3">
        <f>G9*Sheet1!$C$5/12</f>
        <v>2480.6419416437598</v>
      </c>
      <c r="E10" s="3">
        <f>IF(G9&lt;0.01,0,Sheet1!$C$6-D10)</f>
        <v>2064.7815678087941</v>
      </c>
      <c r="F10" s="3">
        <f>F9+D10+E10</f>
        <v>297363.38807562052</v>
      </c>
      <c r="G10" s="3">
        <f>G9-E10</f>
        <v>163311.34787510853</v>
      </c>
      <c r="H10" s="3">
        <f>E10+H9</f>
        <v>276688.65212489152</v>
      </c>
    </row>
    <row r="11" spans="1:8" x14ac:dyDescent="0.25">
      <c r="A11">
        <f>IF(ISBLANK(B11),"",CEILING(B11/12,1))</f>
        <v>1</v>
      </c>
      <c r="B11" s="2">
        <v>9</v>
      </c>
      <c r="D11" s="3">
        <f>G10*Sheet1!$C$5/12</f>
        <v>2449.6702181266278</v>
      </c>
      <c r="E11" s="3">
        <f>IF(G10&lt;0.01,0,Sheet1!$C$6-D11)</f>
        <v>2095.7532913259261</v>
      </c>
      <c r="F11" s="3">
        <f>F10+D11+E11</f>
        <v>301908.81158507307</v>
      </c>
      <c r="G11" s="3">
        <f>G10-E11</f>
        <v>161215.5945837826</v>
      </c>
      <c r="H11" s="3">
        <f>E11+H10</f>
        <v>278784.40541621746</v>
      </c>
    </row>
    <row r="12" spans="1:8" x14ac:dyDescent="0.25">
      <c r="A12">
        <f>IF(ISBLANK(B12),"",CEILING(B12/12,1))</f>
        <v>1</v>
      </c>
      <c r="B12" s="2">
        <v>10</v>
      </c>
      <c r="D12" s="3">
        <f>G11*Sheet1!$C$5/12</f>
        <v>2418.2339187567391</v>
      </c>
      <c r="E12" s="3">
        <f>IF(G11&lt;0.01,0,Sheet1!$C$6-D12)</f>
        <v>2127.1895906958148</v>
      </c>
      <c r="F12" s="3">
        <f>F11+D12+E12</f>
        <v>306454.23509452562</v>
      </c>
      <c r="G12" s="3">
        <f>G11-E12</f>
        <v>159088.40499308679</v>
      </c>
      <c r="H12" s="3">
        <f>E12+H11</f>
        <v>280911.5950069133</v>
      </c>
    </row>
    <row r="13" spans="1:8" x14ac:dyDescent="0.25">
      <c r="A13">
        <f>IF(ISBLANK(B13),"",CEILING(B13/12,1))</f>
        <v>1</v>
      </c>
      <c r="B13" s="2">
        <v>11</v>
      </c>
      <c r="D13" s="3">
        <f>G12*Sheet1!$C$5/12</f>
        <v>2386.3260748963016</v>
      </c>
      <c r="E13" s="3">
        <f>IF(G12&lt;0.01,0,Sheet1!$C$6-D13)</f>
        <v>2159.0974345562522</v>
      </c>
      <c r="F13" s="3">
        <f>F12+D13+E13</f>
        <v>310999.65860397817</v>
      </c>
      <c r="G13" s="3">
        <f>G12-E13</f>
        <v>156929.30755853053</v>
      </c>
      <c r="H13" s="3">
        <f>E13+H12</f>
        <v>283070.69244146952</v>
      </c>
    </row>
    <row r="14" spans="1:8" x14ac:dyDescent="0.25">
      <c r="A14">
        <f>IF(ISBLANK(B14),"",CEILING(B14/12,1))</f>
        <v>1</v>
      </c>
      <c r="B14" s="2">
        <v>12</v>
      </c>
      <c r="D14" s="3">
        <f>G13*Sheet1!$C$5/12</f>
        <v>2353.9396133779578</v>
      </c>
      <c r="E14" s="3">
        <f>IF(G13&lt;0.01,0,Sheet1!$C$6-D14)</f>
        <v>2191.483896074596</v>
      </c>
      <c r="F14" s="3">
        <f>F13+D14+E14</f>
        <v>315545.08211343072</v>
      </c>
      <c r="G14" s="3">
        <f>G13-E14</f>
        <v>154737.82366245595</v>
      </c>
      <c r="H14" s="3">
        <f>E14+H13</f>
        <v>285262.17633754411</v>
      </c>
    </row>
    <row r="15" spans="1:8" x14ac:dyDescent="0.25">
      <c r="A15">
        <f>IF(ISBLANK(B15),"",CEILING(B15/12,1))</f>
        <v>2</v>
      </c>
      <c r="B15" s="2">
        <v>13</v>
      </c>
      <c r="D15" s="3">
        <f>G14*Sheet1!$C$5/12</f>
        <v>2321.0673549368389</v>
      </c>
      <c r="E15" s="3">
        <f>IF(G14&lt;0.01,0,Sheet1!$C$6-D15)</f>
        <v>2224.3561545157149</v>
      </c>
      <c r="F15" s="3">
        <f>F14+D15+E15</f>
        <v>320090.50562288327</v>
      </c>
      <c r="G15" s="3">
        <f>G14-E15</f>
        <v>152513.46750794022</v>
      </c>
      <c r="H15" s="3">
        <f>E15+H14</f>
        <v>287486.53249205981</v>
      </c>
    </row>
    <row r="16" spans="1:8" x14ac:dyDescent="0.25">
      <c r="A16">
        <f>IF(ISBLANK(B16),"",CEILING(B16/12,1))</f>
        <v>2</v>
      </c>
      <c r="B16" s="2">
        <v>14</v>
      </c>
      <c r="D16" s="3">
        <f>G15*Sheet1!$C$5/12</f>
        <v>2287.7020126191032</v>
      </c>
      <c r="E16" s="3">
        <f>IF(G15&lt;0.01,0,Sheet1!$C$6-D16)</f>
        <v>2257.7214968334506</v>
      </c>
      <c r="F16" s="3">
        <f>F15+D16+E16</f>
        <v>324635.92913233582</v>
      </c>
      <c r="G16" s="3">
        <f>G15-E16</f>
        <v>150255.74601110676</v>
      </c>
      <c r="H16" s="3">
        <f>E16+H15</f>
        <v>289744.25398889324</v>
      </c>
    </row>
    <row r="17" spans="1:8" x14ac:dyDescent="0.25">
      <c r="A17">
        <f>IF(ISBLANK(B17),"",CEILING(B17/12,1))</f>
        <v>2</v>
      </c>
      <c r="B17" s="2">
        <v>15</v>
      </c>
      <c r="D17" s="3">
        <f>G16*Sheet1!$C$5/12</f>
        <v>2253.8361901666012</v>
      </c>
      <c r="E17" s="3">
        <f>IF(G16&lt;0.01,0,Sheet1!$C$6-D17)</f>
        <v>2291.5873192859526</v>
      </c>
      <c r="F17" s="3">
        <f>F16+D17+E17</f>
        <v>329181.35264178837</v>
      </c>
      <c r="G17" s="3">
        <f>G16-E17</f>
        <v>147964.1586918208</v>
      </c>
      <c r="H17" s="3">
        <f>E17+H16</f>
        <v>292035.8413081792</v>
      </c>
    </row>
    <row r="18" spans="1:8" x14ac:dyDescent="0.25">
      <c r="A18">
        <f>IF(ISBLANK(B18),"",CEILING(B18/12,1))</f>
        <v>2</v>
      </c>
      <c r="B18" s="2">
        <v>16</v>
      </c>
      <c r="D18" s="3">
        <f>G17*Sheet1!$C$5/12</f>
        <v>2219.462380377312</v>
      </c>
      <c r="E18" s="3">
        <f>IF(G17&lt;0.01,0,Sheet1!$C$6-D18)</f>
        <v>2325.9611290752418</v>
      </c>
      <c r="F18" s="3">
        <f>F17+D18+E18</f>
        <v>333726.77615124092</v>
      </c>
      <c r="G18" s="3">
        <f>G17-E18</f>
        <v>145638.19756274557</v>
      </c>
      <c r="H18" s="3">
        <f>E18+H17</f>
        <v>294361.80243725446</v>
      </c>
    </row>
    <row r="19" spans="1:8" x14ac:dyDescent="0.25">
      <c r="A19">
        <f>IF(ISBLANK(B19),"",CEILING(B19/12,1))</f>
        <v>2</v>
      </c>
      <c r="B19" s="2">
        <v>17</v>
      </c>
      <c r="D19" s="3">
        <f>G18*Sheet1!$C$5/12</f>
        <v>2184.5729634411832</v>
      </c>
      <c r="E19" s="3">
        <f>IF(G18&lt;0.01,0,Sheet1!$C$6-D19)</f>
        <v>2360.8505460113706</v>
      </c>
      <c r="F19" s="3">
        <f>F18+D19+E19</f>
        <v>338272.19966069347</v>
      </c>
      <c r="G19" s="3">
        <f>G18-E19</f>
        <v>143277.34701673419</v>
      </c>
      <c r="H19" s="3">
        <f>E19+H18</f>
        <v>296722.65298326581</v>
      </c>
    </row>
    <row r="20" spans="1:8" x14ac:dyDescent="0.25">
      <c r="A20">
        <f>IF(ISBLANK(B20),"",CEILING(B20/12,1))</f>
        <v>2</v>
      </c>
      <c r="B20" s="2">
        <v>18</v>
      </c>
      <c r="D20" s="3">
        <f>G19*Sheet1!$C$5/12</f>
        <v>2149.1602052510129</v>
      </c>
      <c r="E20" s="3">
        <f>IF(G19&lt;0.01,0,Sheet1!$C$6-D20)</f>
        <v>2396.2633042015409</v>
      </c>
      <c r="F20" s="3">
        <f>F19+D20+E20</f>
        <v>342817.62317014602</v>
      </c>
      <c r="G20" s="3">
        <f>G19-E20</f>
        <v>140881.08371253265</v>
      </c>
      <c r="H20" s="3">
        <f>E20+H19</f>
        <v>299118.91628746735</v>
      </c>
    </row>
    <row r="21" spans="1:8" x14ac:dyDescent="0.25">
      <c r="A21">
        <f>IF(ISBLANK(B21),"",CEILING(B21/12,1))</f>
        <v>2</v>
      </c>
      <c r="B21" s="2">
        <v>19</v>
      </c>
      <c r="D21" s="3">
        <f>G20*Sheet1!$C$5/12</f>
        <v>2113.2162556879898</v>
      </c>
      <c r="E21" s="3">
        <f>IF(G20&lt;0.01,0,Sheet1!$C$6-D21)</f>
        <v>2432.207253764564</v>
      </c>
      <c r="F21" s="3">
        <f>F20+D21+E21</f>
        <v>347363.04667959857</v>
      </c>
      <c r="G21" s="3">
        <f>G20-E21</f>
        <v>138448.87645876809</v>
      </c>
      <c r="H21" s="3">
        <f>E21+H20</f>
        <v>301551.12354123191</v>
      </c>
    </row>
    <row r="22" spans="1:8" x14ac:dyDescent="0.25">
      <c r="A22">
        <f>IF(ISBLANK(B22),"",CEILING(B22/12,1))</f>
        <v>2</v>
      </c>
      <c r="B22" s="2">
        <v>20</v>
      </c>
      <c r="D22" s="3">
        <f>G21*Sheet1!$C$5/12</f>
        <v>2076.7331468815214</v>
      </c>
      <c r="E22" s="3">
        <f>IF(G21&lt;0.01,0,Sheet1!$C$6-D22)</f>
        <v>2468.6903625710324</v>
      </c>
      <c r="F22" s="3">
        <f>F21+D22+E22</f>
        <v>351908.47018905112</v>
      </c>
      <c r="G22" s="3">
        <f>G21-E22</f>
        <v>135980.18609619705</v>
      </c>
      <c r="H22" s="3">
        <f>E22+H21</f>
        <v>304019.81390380295</v>
      </c>
    </row>
    <row r="23" spans="1:8" x14ac:dyDescent="0.25">
      <c r="A23">
        <f>IF(ISBLANK(B23),"",CEILING(B23/12,1))</f>
        <v>2</v>
      </c>
      <c r="B23" s="2">
        <v>21</v>
      </c>
      <c r="D23" s="3">
        <f>G22*Sheet1!$C$5/12</f>
        <v>2039.7027914429557</v>
      </c>
      <c r="E23" s="3">
        <f>IF(G22&lt;0.01,0,Sheet1!$C$6-D23)</f>
        <v>2505.7207180095984</v>
      </c>
      <c r="F23" s="3">
        <f>F22+D23+E23</f>
        <v>356453.89369850367</v>
      </c>
      <c r="G23" s="3">
        <f>G22-E23</f>
        <v>133474.46537818745</v>
      </c>
      <c r="H23" s="3">
        <f>E23+H22</f>
        <v>306525.53462181252</v>
      </c>
    </row>
    <row r="24" spans="1:8" x14ac:dyDescent="0.25">
      <c r="A24">
        <f>IF(ISBLANK(B24),"",CEILING(B24/12,1))</f>
        <v>2</v>
      </c>
      <c r="B24" s="2">
        <v>22</v>
      </c>
      <c r="D24" s="3">
        <f>G23*Sheet1!$C$5/12</f>
        <v>2002.1169806728119</v>
      </c>
      <c r="E24" s="3">
        <f>IF(G23&lt;0.01,0,Sheet1!$C$6-D24)</f>
        <v>2543.3065287797417</v>
      </c>
      <c r="F24" s="3">
        <f>F23+D24+E24</f>
        <v>360999.31720795622</v>
      </c>
      <c r="G24" s="3">
        <f>G23-E24</f>
        <v>130931.15884940772</v>
      </c>
      <c r="H24" s="3">
        <f>E24+H23</f>
        <v>309068.84115059226</v>
      </c>
    </row>
    <row r="25" spans="1:8" x14ac:dyDescent="0.25">
      <c r="A25">
        <f>IF(ISBLANK(B25),"",CEILING(B25/12,1))</f>
        <v>2</v>
      </c>
      <c r="B25" s="2">
        <v>23</v>
      </c>
      <c r="D25" s="3">
        <f>G24*Sheet1!$C$5/12</f>
        <v>1963.9673827411154</v>
      </c>
      <c r="E25" s="3">
        <f>IF(G24&lt;0.01,0,Sheet1!$C$6-D25)</f>
        <v>2581.4561267114386</v>
      </c>
      <c r="F25" s="3">
        <f>F24+D25+E25</f>
        <v>365544.74071740877</v>
      </c>
      <c r="G25" s="3">
        <f>G24-E25</f>
        <v>128349.70272269628</v>
      </c>
      <c r="H25" s="3">
        <f>E25+H24</f>
        <v>311650.2972773037</v>
      </c>
    </row>
    <row r="26" spans="1:8" x14ac:dyDescent="0.25">
      <c r="A26">
        <f>IF(ISBLANK(B26),"",CEILING(B26/12,1))</f>
        <v>2</v>
      </c>
      <c r="B26" s="2">
        <v>24</v>
      </c>
      <c r="D26" s="3">
        <f>G25*Sheet1!$C$5/12</f>
        <v>1925.2455408404442</v>
      </c>
      <c r="E26" s="3">
        <f>IF(G25&lt;0.01,0,Sheet1!$C$6-D26)</f>
        <v>2620.1779686121099</v>
      </c>
      <c r="F26" s="3">
        <f>F25+D26+E26</f>
        <v>370090.16422686132</v>
      </c>
      <c r="G26" s="3">
        <f>G25-E26</f>
        <v>125729.52475408417</v>
      </c>
      <c r="H26" s="3">
        <f>E26+H25</f>
        <v>314270.47524591582</v>
      </c>
    </row>
    <row r="27" spans="1:8" x14ac:dyDescent="0.25">
      <c r="A27">
        <f>IF(ISBLANK(B27),"",CEILING(B27/12,1))</f>
        <v>3</v>
      </c>
      <c r="B27" s="2">
        <v>25</v>
      </c>
      <c r="D27" s="3">
        <f>G26*Sheet1!$C$5/12</f>
        <v>1885.9428713112623</v>
      </c>
      <c r="E27" s="3">
        <f>IF(G26&lt;0.01,0,Sheet1!$C$6-D27)</f>
        <v>2659.4806381412918</v>
      </c>
      <c r="F27" s="3">
        <f>F26+D27+E27</f>
        <v>374635.58773631387</v>
      </c>
      <c r="G27" s="3">
        <f>G26-E27</f>
        <v>123070.04411594287</v>
      </c>
      <c r="H27" s="3">
        <f>E27+H26</f>
        <v>316929.9558840571</v>
      </c>
    </row>
    <row r="28" spans="1:8" x14ac:dyDescent="0.25">
      <c r="A28">
        <f>IF(ISBLANK(B28),"",CEILING(B28/12,1))</f>
        <v>3</v>
      </c>
      <c r="B28" s="2">
        <v>26</v>
      </c>
      <c r="D28" s="3">
        <f>G27*Sheet1!$C$5/12</f>
        <v>1846.0506617391429</v>
      </c>
      <c r="E28" s="3">
        <f>IF(G27&lt;0.01,0,Sheet1!$C$6-D28)</f>
        <v>2699.3728477134109</v>
      </c>
      <c r="F28" s="3">
        <f>F27+D28+E28</f>
        <v>379181.01124576642</v>
      </c>
      <c r="G28" s="3">
        <f>G27-E28</f>
        <v>120370.67126822946</v>
      </c>
      <c r="H28" s="3">
        <f>E28+H27</f>
        <v>319629.32873177051</v>
      </c>
    </row>
    <row r="29" spans="1:8" x14ac:dyDescent="0.25">
      <c r="A29">
        <f>IF(ISBLANK(B29),"",CEILING(B29/12,1))</f>
        <v>3</v>
      </c>
      <c r="B29" s="2">
        <v>27</v>
      </c>
      <c r="D29" s="3">
        <f>G28*Sheet1!$C$5/12</f>
        <v>1805.5600690234417</v>
      </c>
      <c r="E29" s="3">
        <f>IF(G28&lt;0.01,0,Sheet1!$C$6-D29)</f>
        <v>2739.8634404291124</v>
      </c>
      <c r="F29" s="3">
        <f>F28+D29+E29</f>
        <v>383726.43475521897</v>
      </c>
      <c r="G29" s="3">
        <f>G28-E29</f>
        <v>117630.80782780035</v>
      </c>
      <c r="H29" s="3">
        <f>E29+H28</f>
        <v>322369.1921721996</v>
      </c>
    </row>
    <row r="30" spans="1:8" x14ac:dyDescent="0.25">
      <c r="A30">
        <f>IF(ISBLANK(B30),"",CEILING(B30/12,1))</f>
        <v>3</v>
      </c>
      <c r="B30" s="2">
        <v>28</v>
      </c>
      <c r="D30" s="3">
        <f>G29*Sheet1!$C$5/12</f>
        <v>1764.4621174170052</v>
      </c>
      <c r="E30" s="3">
        <f>IF(G29&lt;0.01,0,Sheet1!$C$6-D30)</f>
        <v>2780.9613920355487</v>
      </c>
      <c r="F30" s="3">
        <f>F29+D30+E30</f>
        <v>388271.85826467152</v>
      </c>
      <c r="G30" s="3">
        <f>G29-E30</f>
        <v>114849.8464357648</v>
      </c>
      <c r="H30" s="3">
        <f>E30+H29</f>
        <v>325150.15356423514</v>
      </c>
    </row>
    <row r="31" spans="1:8" x14ac:dyDescent="0.25">
      <c r="A31">
        <f>IF(ISBLANK(B31),"",CEILING(B31/12,1))</f>
        <v>3</v>
      </c>
      <c r="B31" s="2">
        <v>29</v>
      </c>
      <c r="D31" s="3">
        <f>G30*Sheet1!$C$5/12</f>
        <v>1722.7476965364719</v>
      </c>
      <c r="E31" s="3">
        <f>IF(G30&lt;0.01,0,Sheet1!$C$6-D31)</f>
        <v>2822.6758129160817</v>
      </c>
      <c r="F31" s="3">
        <f>F30+D31+E31</f>
        <v>392817.28177412407</v>
      </c>
      <c r="G31" s="3">
        <f>G30-E31</f>
        <v>112027.17062284872</v>
      </c>
      <c r="H31" s="3">
        <f>E31+H30</f>
        <v>327972.82937715121</v>
      </c>
    </row>
    <row r="32" spans="1:8" x14ac:dyDescent="0.25">
      <c r="A32">
        <f>IF(ISBLANK(B32),"",CEILING(B32/12,1))</f>
        <v>3</v>
      </c>
      <c r="B32" s="2">
        <v>30</v>
      </c>
      <c r="D32" s="3">
        <f>G31*Sheet1!$C$5/12</f>
        <v>1680.4075593427306</v>
      </c>
      <c r="E32" s="3">
        <f>IF(G31&lt;0.01,0,Sheet1!$C$6-D32)</f>
        <v>2865.0159501098233</v>
      </c>
      <c r="F32" s="3">
        <f>F31+D32+E32</f>
        <v>397362.70528357662</v>
      </c>
      <c r="G32" s="3">
        <f>G31-E32</f>
        <v>109162.15467273889</v>
      </c>
      <c r="H32" s="3">
        <f>E32+H31</f>
        <v>330837.84532726102</v>
      </c>
    </row>
    <row r="33" spans="1:8" x14ac:dyDescent="0.25">
      <c r="A33">
        <f>IF(ISBLANK(B33),"",CEILING(B33/12,1))</f>
        <v>3</v>
      </c>
      <c r="B33" s="2">
        <v>31</v>
      </c>
      <c r="D33" s="3">
        <f>G32*Sheet1!$C$5/12</f>
        <v>1637.4323200910833</v>
      </c>
      <c r="E33" s="3">
        <f>IF(G32&lt;0.01,0,Sheet1!$C$6-D33)</f>
        <v>2907.9911893614708</v>
      </c>
      <c r="F33" s="3">
        <f>F32+D33+E33</f>
        <v>401908.12879302917</v>
      </c>
      <c r="G33" s="3">
        <f>G32-E33</f>
        <v>106254.16348337742</v>
      </c>
      <c r="H33" s="3">
        <f>E33+H32</f>
        <v>333745.83651662251</v>
      </c>
    </row>
    <row r="34" spans="1:8" x14ac:dyDescent="0.25">
      <c r="A34">
        <f>IF(ISBLANK(B34),"",CEILING(B34/12,1))</f>
        <v>3</v>
      </c>
      <c r="B34" s="2">
        <v>32</v>
      </c>
      <c r="D34" s="3">
        <f>G33*Sheet1!$C$5/12</f>
        <v>1593.8124522506612</v>
      </c>
      <c r="E34" s="3">
        <f>IF(G33&lt;0.01,0,Sheet1!$C$6-D34)</f>
        <v>2951.6110572018924</v>
      </c>
      <c r="F34" s="3">
        <f>F33+D34+E34</f>
        <v>406453.55230248172</v>
      </c>
      <c r="G34" s="3">
        <f>G33-E34</f>
        <v>103302.55242617552</v>
      </c>
      <c r="H34" s="3">
        <f>E34+H33</f>
        <v>336697.44757382438</v>
      </c>
    </row>
    <row r="35" spans="1:8" x14ac:dyDescent="0.25">
      <c r="A35">
        <f>IF(ISBLANK(B35),"",CEILING(B35/12,1))</f>
        <v>3</v>
      </c>
      <c r="B35" s="2">
        <v>33</v>
      </c>
      <c r="D35" s="3">
        <f>G34*Sheet1!$C$5/12</f>
        <v>1549.5382863926327</v>
      </c>
      <c r="E35" s="3">
        <f>IF(G34&lt;0.01,0,Sheet1!$C$6-D35)</f>
        <v>2995.8852230599214</v>
      </c>
      <c r="F35" s="3">
        <f>F34+D35+E35</f>
        <v>410998.97581193427</v>
      </c>
      <c r="G35" s="3">
        <f>G34-E35</f>
        <v>100306.6672031156</v>
      </c>
      <c r="H35" s="3">
        <f>E35+H34</f>
        <v>339693.33279688429</v>
      </c>
    </row>
    <row r="36" spans="1:8" x14ac:dyDescent="0.25">
      <c r="A36">
        <f>IF(ISBLANK(B36),"",CEILING(B36/12,1))</f>
        <v>3</v>
      </c>
      <c r="B36" s="2">
        <v>34</v>
      </c>
      <c r="D36" s="3">
        <f>G35*Sheet1!$C$5/12</f>
        <v>1504.600008046734</v>
      </c>
      <c r="E36" s="3">
        <f>IF(G35&lt;0.01,0,Sheet1!$C$6-D36)</f>
        <v>3040.82350140582</v>
      </c>
      <c r="F36" s="3">
        <f>F35+D36+E36</f>
        <v>415544.39932138682</v>
      </c>
      <c r="G36" s="3">
        <f>G35-E36</f>
        <v>97265.843701709789</v>
      </c>
      <c r="H36" s="3">
        <f>E36+H35</f>
        <v>342734.15629829012</v>
      </c>
    </row>
    <row r="37" spans="1:8" x14ac:dyDescent="0.25">
      <c r="A37">
        <f>IF(ISBLANK(B37),"",CEILING(B37/12,1))</f>
        <v>3</v>
      </c>
      <c r="B37" s="2">
        <v>35</v>
      </c>
      <c r="D37" s="3">
        <f>G36*Sheet1!$C$5/12</f>
        <v>1458.9876555256469</v>
      </c>
      <c r="E37" s="3">
        <f>IF(G36&lt;0.01,0,Sheet1!$C$6-D37)</f>
        <v>3086.4358539269069</v>
      </c>
      <c r="F37" s="3">
        <f>F36+D37+E37</f>
        <v>420089.82283083937</v>
      </c>
      <c r="G37" s="3">
        <f>G36-E37</f>
        <v>94179.407847782888</v>
      </c>
      <c r="H37" s="3">
        <f>E37+H36</f>
        <v>345820.59215221705</v>
      </c>
    </row>
    <row r="38" spans="1:8" x14ac:dyDescent="0.25">
      <c r="A38">
        <f>IF(ISBLANK(B38),"",CEILING(B38/12,1))</f>
        <v>3</v>
      </c>
      <c r="B38" s="2">
        <v>36</v>
      </c>
      <c r="D38" s="3">
        <f>G37*Sheet1!$C$5/12</f>
        <v>1412.6911177167433</v>
      </c>
      <c r="E38" s="3">
        <f>IF(G37&lt;0.01,0,Sheet1!$C$6-D38)</f>
        <v>3132.7323917358108</v>
      </c>
      <c r="F38" s="3">
        <f>F37+D38+E38</f>
        <v>424635.24634029192</v>
      </c>
      <c r="G38" s="3">
        <f>G37-E38</f>
        <v>91046.675456047073</v>
      </c>
      <c r="H38" s="3">
        <f>E38+H37</f>
        <v>348953.32454395288</v>
      </c>
    </row>
    <row r="39" spans="1:8" x14ac:dyDescent="0.25">
      <c r="A39">
        <f>IF(ISBLANK(B39),"",CEILING(B39/12,1))</f>
        <v>4</v>
      </c>
      <c r="B39" s="2">
        <v>37</v>
      </c>
      <c r="D39" s="3">
        <f>G38*Sheet1!$C$5/12</f>
        <v>1365.7001318407063</v>
      </c>
      <c r="E39" s="3">
        <f>IF(G38&lt;0.01,0,Sheet1!$C$6-D39)</f>
        <v>3179.7233776118474</v>
      </c>
      <c r="F39" s="3">
        <f>F38+D39+E39</f>
        <v>429180.66984974447</v>
      </c>
      <c r="G39" s="3">
        <f>G38-E39</f>
        <v>87866.952078435221</v>
      </c>
      <c r="H39" s="3">
        <f>E39+H38</f>
        <v>352133.04792156472</v>
      </c>
    </row>
    <row r="40" spans="1:8" x14ac:dyDescent="0.25">
      <c r="A40">
        <f>IF(ISBLANK(B40),"",CEILING(B40/12,1))</f>
        <v>4</v>
      </c>
      <c r="B40" s="2">
        <v>38</v>
      </c>
      <c r="D40" s="3">
        <f>G39*Sheet1!$C$5/12</f>
        <v>1318.0042811765281</v>
      </c>
      <c r="E40" s="3">
        <f>IF(G39&lt;0.01,0,Sheet1!$C$6-D40)</f>
        <v>3227.4192282760259</v>
      </c>
      <c r="F40" s="3">
        <f>F39+D40+E40</f>
        <v>433726.09335919702</v>
      </c>
      <c r="G40" s="3">
        <f>G39-E40</f>
        <v>84639.532850159201</v>
      </c>
      <c r="H40" s="3">
        <f>E40+H39</f>
        <v>355360.46714984073</v>
      </c>
    </row>
    <row r="41" spans="1:8" x14ac:dyDescent="0.25">
      <c r="A41">
        <f>IF(ISBLANK(B41),"",CEILING(B41/12,1))</f>
        <v>4</v>
      </c>
      <c r="B41" s="2">
        <v>39</v>
      </c>
      <c r="D41" s="3">
        <f>G40*Sheet1!$C$5/12</f>
        <v>1269.592992752388</v>
      </c>
      <c r="E41" s="3">
        <f>IF(G40&lt;0.01,0,Sheet1!$C$6-D41)</f>
        <v>3275.8305167001658</v>
      </c>
      <c r="F41" s="3">
        <f>F40+D41+E41</f>
        <v>438271.51686864957</v>
      </c>
      <c r="G41" s="3">
        <f>G40-E41</f>
        <v>81363.702333459034</v>
      </c>
      <c r="H41" s="3">
        <f>E41+H40</f>
        <v>358636.29766654089</v>
      </c>
    </row>
    <row r="42" spans="1:8" x14ac:dyDescent="0.25">
      <c r="A42">
        <f>IF(ISBLANK(B42),"",CEILING(B42/12,1))</f>
        <v>4</v>
      </c>
      <c r="B42" s="2">
        <v>40</v>
      </c>
      <c r="D42" s="3">
        <f>G41*Sheet1!$C$5/12</f>
        <v>1220.4555350018854</v>
      </c>
      <c r="E42" s="3">
        <f>IF(G41&lt;0.01,0,Sheet1!$C$6-D42)</f>
        <v>3324.9679744506684</v>
      </c>
      <c r="F42" s="3">
        <f>F41+D42+E42</f>
        <v>442816.94037810212</v>
      </c>
      <c r="G42" s="3">
        <f>G41-E42</f>
        <v>78038.734359008362</v>
      </c>
      <c r="H42" s="3">
        <f>E42+H41</f>
        <v>361961.26564099157</v>
      </c>
    </row>
    <row r="43" spans="1:8" x14ac:dyDescent="0.25">
      <c r="A43">
        <f>IF(ISBLANK(B43),"",CEILING(B43/12,1))</f>
        <v>4</v>
      </c>
      <c r="B43" s="2">
        <v>41</v>
      </c>
      <c r="D43" s="3">
        <f>G42*Sheet1!$C$5/12</f>
        <v>1170.5810153851255</v>
      </c>
      <c r="E43" s="3">
        <f>IF(G42&lt;0.01,0,Sheet1!$C$6-D43)</f>
        <v>3374.8424940674286</v>
      </c>
      <c r="F43" s="3">
        <f>F42+D43+E43</f>
        <v>447362.36388755467</v>
      </c>
      <c r="G43" s="3">
        <f>G42-E43</f>
        <v>74663.891864940932</v>
      </c>
      <c r="H43" s="3">
        <f>E43+H42</f>
        <v>365336.10813505901</v>
      </c>
    </row>
    <row r="44" spans="1:8" x14ac:dyDescent="0.25">
      <c r="A44">
        <f>IF(ISBLANK(B44),"",CEILING(B44/12,1))</f>
        <v>4</v>
      </c>
      <c r="B44" s="2">
        <v>42</v>
      </c>
      <c r="D44" s="3">
        <f>G43*Sheet1!$C$5/12</f>
        <v>1119.958377974114</v>
      </c>
      <c r="E44" s="3">
        <f>IF(G43&lt;0.01,0,Sheet1!$C$6-D44)</f>
        <v>3425.4651314784396</v>
      </c>
      <c r="F44" s="3">
        <f>F43+D44+E44</f>
        <v>451907.78739700723</v>
      </c>
      <c r="G44" s="3">
        <f>G43-E44</f>
        <v>71238.426733462489</v>
      </c>
      <c r="H44" s="3">
        <f>E44+H43</f>
        <v>368761.57326653745</v>
      </c>
    </row>
    <row r="45" spans="1:8" x14ac:dyDescent="0.25">
      <c r="A45">
        <f>IF(ISBLANK(B45),"",CEILING(B45/12,1))</f>
        <v>4</v>
      </c>
      <c r="B45" s="2">
        <v>43</v>
      </c>
      <c r="D45" s="3">
        <f>G44*Sheet1!$C$5/12</f>
        <v>1068.5764010019373</v>
      </c>
      <c r="E45" s="3">
        <f>IF(G44&lt;0.01,0,Sheet1!$C$6-D45)</f>
        <v>3476.8471084506164</v>
      </c>
      <c r="F45" s="3">
        <f>F44+D45+E45</f>
        <v>456453.21090645978</v>
      </c>
      <c r="G45" s="3">
        <f>G44-E45</f>
        <v>67761.579625011873</v>
      </c>
      <c r="H45" s="3">
        <f>E45+H44</f>
        <v>372238.42037498805</v>
      </c>
    </row>
    <row r="46" spans="1:8" x14ac:dyDescent="0.25">
      <c r="A46">
        <f>IF(ISBLANK(B46),"",CEILING(B46/12,1))</f>
        <v>4</v>
      </c>
      <c r="B46" s="2">
        <v>44</v>
      </c>
      <c r="D46" s="3">
        <f>G45*Sheet1!$C$5/12</f>
        <v>1016.423694375178</v>
      </c>
      <c r="E46" s="3">
        <f>IF(G45&lt;0.01,0,Sheet1!$C$6-D46)</f>
        <v>3528.9998150773758</v>
      </c>
      <c r="F46" s="3">
        <f>F45+D46+E46</f>
        <v>460998.63441591238</v>
      </c>
      <c r="G46" s="3">
        <f>G45-E46</f>
        <v>64232.579809934497</v>
      </c>
      <c r="H46" s="3">
        <f>E46+H45</f>
        <v>375767.42019006546</v>
      </c>
    </row>
    <row r="47" spans="1:8" x14ac:dyDescent="0.25">
      <c r="A47">
        <f>IF(ISBLANK(B47),"",CEILING(B47/12,1))</f>
        <v>4</v>
      </c>
      <c r="B47" s="2">
        <v>45</v>
      </c>
      <c r="D47" s="3">
        <f>G46*Sheet1!$C$5/12</f>
        <v>963.48869714901741</v>
      </c>
      <c r="E47" s="3">
        <f>IF(G46&lt;0.01,0,Sheet1!$C$6-D47)</f>
        <v>3581.9348123035365</v>
      </c>
      <c r="F47" s="3">
        <f>F46+D47+E47</f>
        <v>465544.05792536493</v>
      </c>
      <c r="G47" s="3">
        <f>G46-E47</f>
        <v>60650.64499763096</v>
      </c>
      <c r="H47" s="3">
        <f>E47+H46</f>
        <v>379349.35500236897</v>
      </c>
    </row>
    <row r="48" spans="1:8" x14ac:dyDescent="0.25">
      <c r="A48">
        <f>IF(ISBLANK(B48),"",CEILING(B48/12,1))</f>
        <v>4</v>
      </c>
      <c r="B48" s="2">
        <v>46</v>
      </c>
      <c r="D48" s="3">
        <f>G47*Sheet1!$C$5/12</f>
        <v>909.75967496446435</v>
      </c>
      <c r="E48" s="3">
        <f>IF(G47&lt;0.01,0,Sheet1!$C$6-D48)</f>
        <v>3635.6638344880894</v>
      </c>
      <c r="F48" s="3">
        <f>F47+D48+E48</f>
        <v>470089.48143481748</v>
      </c>
      <c r="G48" s="3">
        <f>G47-E48</f>
        <v>57014.981163142867</v>
      </c>
      <c r="H48" s="3">
        <f>E48+H47</f>
        <v>382985.01883685705</v>
      </c>
    </row>
    <row r="49" spans="1:8" x14ac:dyDescent="0.25">
      <c r="A49">
        <f>IF(ISBLANK(B49),"",CEILING(B49/12,1))</f>
        <v>4</v>
      </c>
      <c r="B49" s="2">
        <v>47</v>
      </c>
      <c r="D49" s="3">
        <f>G48*Sheet1!$C$5/12</f>
        <v>855.22471744714301</v>
      </c>
      <c r="E49" s="3">
        <f>IF(G48&lt;0.01,0,Sheet1!$C$6-D49)</f>
        <v>3690.1987920054107</v>
      </c>
      <c r="F49" s="3">
        <f>F48+D49+E49</f>
        <v>474634.90494427003</v>
      </c>
      <c r="G49" s="3">
        <f>G48-E49</f>
        <v>53324.782371137459</v>
      </c>
      <c r="H49" s="3">
        <f>E49+H48</f>
        <v>386675.21762886248</v>
      </c>
    </row>
    <row r="50" spans="1:8" x14ac:dyDescent="0.25">
      <c r="A50">
        <f>IF(ISBLANK(B50),"",CEILING(B50/12,1))</f>
        <v>4</v>
      </c>
      <c r="B50" s="2">
        <v>48</v>
      </c>
      <c r="D50" s="3">
        <f>G49*Sheet1!$C$5/12</f>
        <v>799.87173556706182</v>
      </c>
      <c r="E50" s="3">
        <f>IF(G49&lt;0.01,0,Sheet1!$C$6-D50)</f>
        <v>3745.5517738854919</v>
      </c>
      <c r="F50" s="3">
        <f>F49+D50+E50</f>
        <v>479180.32845372258</v>
      </c>
      <c r="G50" s="3">
        <f>G49-E50</f>
        <v>49579.230597251968</v>
      </c>
      <c r="H50" s="3">
        <f>E50+H49</f>
        <v>390420.76940274797</v>
      </c>
    </row>
    <row r="51" spans="1:8" x14ac:dyDescent="0.25">
      <c r="A51">
        <f>IF(ISBLANK(B51),"",CEILING(B51/12,1))</f>
        <v>5</v>
      </c>
      <c r="B51" s="2">
        <v>49</v>
      </c>
      <c r="D51" s="3">
        <f>G50*Sheet1!$C$5/12</f>
        <v>743.68845895877951</v>
      </c>
      <c r="E51" s="3">
        <f>IF(G50&lt;0.01,0,Sheet1!$C$6-D51)</f>
        <v>3801.7350504937745</v>
      </c>
      <c r="F51" s="3">
        <f>F50+D51+E51</f>
        <v>483725.75196317513</v>
      </c>
      <c r="G51" s="3">
        <f>G50-E51</f>
        <v>45777.495546758197</v>
      </c>
      <c r="H51" s="3">
        <f>E51+H50</f>
        <v>394222.50445324177</v>
      </c>
    </row>
    <row r="52" spans="1:8" x14ac:dyDescent="0.25">
      <c r="A52">
        <f>IF(ISBLANK(B52),"",CEILING(B52/12,1))</f>
        <v>5</v>
      </c>
      <c r="B52" s="2">
        <v>50</v>
      </c>
      <c r="D52" s="3">
        <f>G51*Sheet1!$C$5/12</f>
        <v>686.66243320137289</v>
      </c>
      <c r="E52" s="3">
        <f>IF(G51&lt;0.01,0,Sheet1!$C$6-D52)</f>
        <v>3858.7610762511808</v>
      </c>
      <c r="F52" s="3">
        <f>F51+D52+E52</f>
        <v>488271.17547262768</v>
      </c>
      <c r="G52" s="3">
        <f>G51-E52</f>
        <v>41918.734470507014</v>
      </c>
      <c r="H52" s="3">
        <f>E52+H51</f>
        <v>398081.26552949293</v>
      </c>
    </row>
    <row r="53" spans="1:8" x14ac:dyDescent="0.25">
      <c r="A53">
        <f>IF(ISBLANK(B53),"",CEILING(B53/12,1))</f>
        <v>5</v>
      </c>
      <c r="B53" s="2">
        <v>51</v>
      </c>
      <c r="D53" s="3">
        <f>G52*Sheet1!$C$5/12</f>
        <v>628.78101705760525</v>
      </c>
      <c r="E53" s="3">
        <f>IF(G52&lt;0.01,0,Sheet1!$C$6-D53)</f>
        <v>3916.6424923949485</v>
      </c>
      <c r="F53" s="3">
        <f>F52+D53+E53</f>
        <v>492816.59898208024</v>
      </c>
      <c r="G53" s="3">
        <f>G52-E53</f>
        <v>38002.091978112068</v>
      </c>
      <c r="H53" s="3">
        <f>E53+H52</f>
        <v>401997.90802188788</v>
      </c>
    </row>
    <row r="54" spans="1:8" x14ac:dyDescent="0.25">
      <c r="A54">
        <f>IF(ISBLANK(B54),"",CEILING(B54/12,1))</f>
        <v>5</v>
      </c>
      <c r="B54" s="2">
        <v>52</v>
      </c>
      <c r="D54" s="3">
        <f>G53*Sheet1!$C$5/12</f>
        <v>570.03137967168107</v>
      </c>
      <c r="E54" s="3">
        <f>IF(G53&lt;0.01,0,Sheet1!$C$6-D54)</f>
        <v>3975.3921297808729</v>
      </c>
      <c r="F54" s="3">
        <f>F53+D54+E54</f>
        <v>497362.02249153284</v>
      </c>
      <c r="G54" s="3">
        <f>G53-E54</f>
        <v>34026.699848331198</v>
      </c>
      <c r="H54" s="3">
        <f>E54+H53</f>
        <v>405973.30015166878</v>
      </c>
    </row>
    <row r="55" spans="1:8" x14ac:dyDescent="0.25">
      <c r="A55">
        <f>IF(ISBLANK(B55),"",CEILING(B55/12,1))</f>
        <v>5</v>
      </c>
      <c r="B55" s="2">
        <v>53</v>
      </c>
      <c r="D55" s="3">
        <f>G54*Sheet1!$C$5/12</f>
        <v>510.40049772496792</v>
      </c>
      <c r="E55" s="3">
        <f>IF(G54&lt;0.01,0,Sheet1!$C$6-D55)</f>
        <v>4035.023011727586</v>
      </c>
      <c r="F55" s="3">
        <f>F54+D55+E55</f>
        <v>501907.44600098539</v>
      </c>
      <c r="G55" s="3">
        <f>G54-E55</f>
        <v>29991.676836603612</v>
      </c>
      <c r="H55" s="3">
        <f>E55+H54</f>
        <v>410008.32316339639</v>
      </c>
    </row>
    <row r="56" spans="1:8" x14ac:dyDescent="0.25">
      <c r="A56">
        <f>IF(ISBLANK(B56),"",CEILING(B56/12,1))</f>
        <v>5</v>
      </c>
      <c r="B56" s="2">
        <v>54</v>
      </c>
      <c r="D56" s="3">
        <f>G55*Sheet1!$C$5/12</f>
        <v>449.87515254905412</v>
      </c>
      <c r="E56" s="3">
        <f>IF(G55&lt;0.01,0,Sheet1!$C$6-D56)</f>
        <v>4095.5483569034996</v>
      </c>
      <c r="F56" s="3">
        <f>F55+D56+E56</f>
        <v>506452.86951043794</v>
      </c>
      <c r="G56" s="3">
        <f>G55-E56</f>
        <v>25896.128479700114</v>
      </c>
      <c r="H56" s="3">
        <f>E56+H55</f>
        <v>414103.87152029987</v>
      </c>
    </row>
    <row r="57" spans="1:8" x14ac:dyDescent="0.25">
      <c r="A57">
        <f>IF(ISBLANK(B57),"",CEILING(B57/12,1))</f>
        <v>5</v>
      </c>
      <c r="B57" s="2">
        <v>55</v>
      </c>
      <c r="D57" s="3">
        <f>G56*Sheet1!$C$5/12</f>
        <v>388.44192719550171</v>
      </c>
      <c r="E57" s="3">
        <f>IF(G56&lt;0.01,0,Sheet1!$C$6-D57)</f>
        <v>4156.9815822570517</v>
      </c>
      <c r="F57" s="3">
        <f>F56+D57+E57</f>
        <v>510998.29301989049</v>
      </c>
      <c r="G57" s="3">
        <f>G56-E57</f>
        <v>21739.146897443061</v>
      </c>
      <c r="H57" s="3">
        <f>E57+H56</f>
        <v>418260.8531025569</v>
      </c>
    </row>
    <row r="58" spans="1:8" x14ac:dyDescent="0.25">
      <c r="A58">
        <f>IF(ISBLANK(B58),"",CEILING(B58/12,1))</f>
        <v>5</v>
      </c>
      <c r="B58" s="2">
        <v>56</v>
      </c>
      <c r="D58" s="3">
        <f>G57*Sheet1!$C$5/12</f>
        <v>326.08720346164591</v>
      </c>
      <c r="E58" s="3">
        <f>IF(G57&lt;0.01,0,Sheet1!$C$6-D58)</f>
        <v>4219.3363059909079</v>
      </c>
      <c r="F58" s="3">
        <f>F57+D58+E58</f>
        <v>515543.71652934304</v>
      </c>
      <c r="G58" s="3">
        <f>G57-E58</f>
        <v>17519.810591452151</v>
      </c>
      <c r="H58" s="3">
        <f>E58+H57</f>
        <v>422480.18940854783</v>
      </c>
    </row>
    <row r="59" spans="1:8" x14ac:dyDescent="0.25">
      <c r="A59">
        <f>IF(ISBLANK(B59),"",CEILING(B59/12,1))</f>
        <v>5</v>
      </c>
      <c r="B59" s="2">
        <v>57</v>
      </c>
      <c r="D59" s="3">
        <f>G58*Sheet1!$C$5/12</f>
        <v>262.79715887178224</v>
      </c>
      <c r="E59" s="3">
        <f>IF(G58&lt;0.01,0,Sheet1!$C$6-D59)</f>
        <v>4282.6263505807719</v>
      </c>
      <c r="F59" s="3">
        <f>F58+D59+E59</f>
        <v>520089.14003879559</v>
      </c>
      <c r="G59" s="3">
        <f>G58-E59</f>
        <v>13237.184240871378</v>
      </c>
      <c r="H59" s="3">
        <f>E59+H58</f>
        <v>426762.8157591286</v>
      </c>
    </row>
    <row r="60" spans="1:8" x14ac:dyDescent="0.25">
      <c r="A60">
        <f>IF(ISBLANK(B60),"",CEILING(B60/12,1))</f>
        <v>5</v>
      </c>
      <c r="B60" s="2">
        <v>58</v>
      </c>
      <c r="D60" s="3">
        <f>G59*Sheet1!$C$5/12</f>
        <v>198.55776361307065</v>
      </c>
      <c r="E60" s="3">
        <f>IF(G59&lt;0.01,0,Sheet1!$C$6-D60)</f>
        <v>4346.8657458394828</v>
      </c>
      <c r="F60" s="3">
        <f>F59+D60+E60</f>
        <v>524634.56354824814</v>
      </c>
      <c r="G60" s="3">
        <f>G59-E60</f>
        <v>8890.3184950318955</v>
      </c>
      <c r="H60" s="3">
        <f>E60+H59</f>
        <v>431109.68150496809</v>
      </c>
    </row>
    <row r="61" spans="1:8" x14ac:dyDescent="0.25">
      <c r="A61">
        <f>IF(ISBLANK(B61),"",CEILING(B61/12,1))</f>
        <v>5</v>
      </c>
      <c r="B61" s="2">
        <v>59</v>
      </c>
      <c r="D61" s="3">
        <f>G60*Sheet1!$C$5/12</f>
        <v>133.35477742547843</v>
      </c>
      <c r="E61" s="3">
        <f>IF(G60&lt;0.01,0,Sheet1!$C$6-D61)</f>
        <v>4412.0687320270754</v>
      </c>
      <c r="F61" s="3">
        <f>F60+D61+E61</f>
        <v>529179.98705770075</v>
      </c>
      <c r="G61" s="3">
        <f>G60-E61</f>
        <v>4478.2497630048201</v>
      </c>
      <c r="H61" s="3">
        <f>E61+H60</f>
        <v>435521.75023699517</v>
      </c>
    </row>
    <row r="62" spans="1:8" x14ac:dyDescent="0.25">
      <c r="A62">
        <f>IF(ISBLANK(B62),"",CEILING(B62/12,1))</f>
        <v>5</v>
      </c>
      <c r="B62" s="2">
        <v>60</v>
      </c>
      <c r="D62" s="3">
        <f>G61*Sheet1!$C$5/12</f>
        <v>67.173746445072297</v>
      </c>
      <c r="E62" s="3">
        <f>IF(G61&lt;0.01,0,Sheet1!$C$6-D62)</f>
        <v>4478.2497630074813</v>
      </c>
      <c r="F62" s="3">
        <f>F61+D62+E62</f>
        <v>533725.41056715336</v>
      </c>
      <c r="G62" s="3">
        <f>G61-E62</f>
        <v>-2.661181497387588E-9</v>
      </c>
      <c r="H62" s="3">
        <f>E62+H61</f>
        <v>440000.00000000268</v>
      </c>
    </row>
    <row r="63" spans="1:8" x14ac:dyDescent="0.25">
      <c r="A63" t="str">
        <f>IF(ISBLANK(B63),"",CEILING(B63/12,1))</f>
        <v/>
      </c>
      <c r="D63" s="3">
        <f>G62*Sheet1!$C$5/12</f>
        <v>-3.9917722460813814E-11</v>
      </c>
      <c r="E63" s="3">
        <f>IF(G62&lt;0.01,0,Sheet1!$C$6-D63)</f>
        <v>0</v>
      </c>
      <c r="F63" s="3">
        <f>F62+D63+E63</f>
        <v>533725.41056715336</v>
      </c>
      <c r="G63" s="3">
        <f>G62-E63</f>
        <v>-2.661181497387588E-9</v>
      </c>
      <c r="H63" s="3">
        <f>E63+H62</f>
        <v>440000.00000000268</v>
      </c>
    </row>
    <row r="64" spans="1:8" x14ac:dyDescent="0.25">
      <c r="A64" t="str">
        <f>IF(ISBLANK(B64),"",CEILING(B64/12,1))</f>
        <v/>
      </c>
      <c r="D64" s="3">
        <f>G63*Sheet1!$C$5/12</f>
        <v>-3.9917722460813814E-11</v>
      </c>
      <c r="E64" s="3">
        <f>IF(G63&lt;0.01,0,Sheet1!$C$6-D64)</f>
        <v>0</v>
      </c>
      <c r="F64" s="3">
        <f>F63+D64+E64</f>
        <v>533725.41056715336</v>
      </c>
      <c r="G64" s="3">
        <f>G63-E64</f>
        <v>-2.661181497387588E-9</v>
      </c>
      <c r="H64" s="3">
        <f>E64+H63</f>
        <v>440000.00000000268</v>
      </c>
    </row>
    <row r="65" spans="1:8" x14ac:dyDescent="0.25">
      <c r="A65" t="str">
        <f>IF(ISBLANK(B65),"",CEILING(B65/12,1))</f>
        <v/>
      </c>
      <c r="D65" s="3">
        <f>G64*Sheet1!$C$5/12</f>
        <v>-3.9917722460813814E-11</v>
      </c>
      <c r="E65" s="3">
        <f>IF(G64&lt;0.01,0,Sheet1!$C$6-D65)</f>
        <v>0</v>
      </c>
      <c r="F65" s="3">
        <f>F64+D65+E65</f>
        <v>533725.41056715336</v>
      </c>
      <c r="G65" s="3">
        <f>G64-E65</f>
        <v>-2.661181497387588E-9</v>
      </c>
      <c r="H65" s="3">
        <f>E65+H64</f>
        <v>440000.00000000268</v>
      </c>
    </row>
    <row r="66" spans="1:8" x14ac:dyDescent="0.25">
      <c r="A66" t="str">
        <f>IF(ISBLANK(B66),"",CEILING(B66/12,1))</f>
        <v/>
      </c>
      <c r="D66" s="3">
        <f>G65*Sheet1!$C$5/12</f>
        <v>-3.9917722460813814E-11</v>
      </c>
      <c r="E66" s="3">
        <f>IF(G65&lt;0.01,0,Sheet1!$C$6-D66)</f>
        <v>0</v>
      </c>
      <c r="F66" s="3">
        <f>F65+D66+E66</f>
        <v>533725.41056715336</v>
      </c>
      <c r="G66" s="3">
        <f>G65-E66</f>
        <v>-2.661181497387588E-9</v>
      </c>
      <c r="H66" s="3">
        <f>E66+H65</f>
        <v>440000.00000000268</v>
      </c>
    </row>
    <row r="67" spans="1:8" x14ac:dyDescent="0.25">
      <c r="A67" t="str">
        <f>IF(ISBLANK(B67),"",CEILING(B67/12,1))</f>
        <v/>
      </c>
      <c r="D67" s="3">
        <f>G66*Sheet1!$C$5/12</f>
        <v>-3.9917722460813814E-11</v>
      </c>
      <c r="E67" s="3">
        <f>IF(G66&lt;0.01,0,Sheet1!$C$6-D67)</f>
        <v>0</v>
      </c>
      <c r="F67" s="3">
        <f>F66+D67+E67</f>
        <v>533725.41056715336</v>
      </c>
      <c r="G67" s="3">
        <f>G66-E67</f>
        <v>-2.661181497387588E-9</v>
      </c>
      <c r="H67" s="3">
        <f>E67+H66</f>
        <v>440000.00000000268</v>
      </c>
    </row>
    <row r="68" spans="1:8" x14ac:dyDescent="0.25">
      <c r="A68" t="str">
        <f>IF(ISBLANK(B68),"",CEILING(B68/12,1))</f>
        <v/>
      </c>
      <c r="D68" s="3">
        <f>G67*Sheet1!$C$5/12</f>
        <v>-3.9917722460813814E-11</v>
      </c>
      <c r="E68" s="3">
        <f>IF(G67&lt;0.01,0,Sheet1!$C$6-D68)</f>
        <v>0</v>
      </c>
      <c r="F68" s="3">
        <f>F67+D68+E68</f>
        <v>533725.41056715336</v>
      </c>
      <c r="G68" s="3">
        <f>G67-E68</f>
        <v>-2.661181497387588E-9</v>
      </c>
      <c r="H68" s="3">
        <f>E68+H67</f>
        <v>440000.00000000268</v>
      </c>
    </row>
    <row r="69" spans="1:8" x14ac:dyDescent="0.25">
      <c r="A69" t="str">
        <f>IF(ISBLANK(B69),"",CEILING(B69/12,1))</f>
        <v/>
      </c>
      <c r="D69" s="3">
        <f>G68*Sheet1!$C$5/12</f>
        <v>-3.9917722460813814E-11</v>
      </c>
      <c r="E69" s="3">
        <f>IF(G68&lt;0.01,0,Sheet1!$C$6-D69)</f>
        <v>0</v>
      </c>
      <c r="F69" s="3">
        <f>F68+D69+E69</f>
        <v>533725.41056715336</v>
      </c>
      <c r="G69" s="3">
        <f>G68-E69</f>
        <v>-2.661181497387588E-9</v>
      </c>
      <c r="H69" s="3">
        <f>E69+H68</f>
        <v>440000.00000000268</v>
      </c>
    </row>
    <row r="70" spans="1:8" x14ac:dyDescent="0.25">
      <c r="A70" t="str">
        <f>IF(ISBLANK(B70),"",CEILING(B70/12,1))</f>
        <v/>
      </c>
      <c r="D70" s="3">
        <f>G69*Sheet1!$C$5/12</f>
        <v>-3.9917722460813814E-11</v>
      </c>
      <c r="E70" s="3">
        <f>IF(G69&lt;0.01,0,Sheet1!$C$6-D70)</f>
        <v>0</v>
      </c>
      <c r="F70" s="3">
        <f>F69+D70+E70</f>
        <v>533725.41056715336</v>
      </c>
      <c r="G70" s="3">
        <f>G69-E70</f>
        <v>-2.661181497387588E-9</v>
      </c>
      <c r="H70" s="3">
        <f>E70+H69</f>
        <v>440000.00000000268</v>
      </c>
    </row>
    <row r="71" spans="1:8" x14ac:dyDescent="0.25">
      <c r="A71" t="str">
        <f>IF(ISBLANK(B71),"",CEILING(B71/12,1))</f>
        <v/>
      </c>
      <c r="D71" s="3">
        <f>G70*Sheet1!$C$5/12</f>
        <v>-3.9917722460813814E-11</v>
      </c>
      <c r="E71" s="3">
        <f>IF(G70&lt;0.01,0,Sheet1!$C$6-D71)</f>
        <v>0</v>
      </c>
      <c r="F71" s="3">
        <f>F70+D71+E71</f>
        <v>533725.41056715336</v>
      </c>
      <c r="G71" s="3">
        <f>G70-E71</f>
        <v>-2.661181497387588E-9</v>
      </c>
      <c r="H71" s="3">
        <f>E71+H70</f>
        <v>440000.00000000268</v>
      </c>
    </row>
    <row r="72" spans="1:8" x14ac:dyDescent="0.25">
      <c r="A72" t="str">
        <f>IF(ISBLANK(B72),"",CEILING(B72/12,1))</f>
        <v/>
      </c>
      <c r="D72" s="3">
        <f>G71*Sheet1!$C$5/12</f>
        <v>-3.9917722460813814E-11</v>
      </c>
      <c r="E72" s="3">
        <f>IF(G71&lt;0.01,0,Sheet1!$C$6-D72)</f>
        <v>0</v>
      </c>
      <c r="F72" s="3">
        <f>F71+D72+E72</f>
        <v>533725.41056715336</v>
      </c>
      <c r="G72" s="3">
        <f>G71-E72</f>
        <v>-2.661181497387588E-9</v>
      </c>
      <c r="H72" s="3">
        <f>E72+H71</f>
        <v>440000.00000000268</v>
      </c>
    </row>
    <row r="73" spans="1:8" x14ac:dyDescent="0.25">
      <c r="A73" t="str">
        <f>IF(ISBLANK(B73),"",CEILING(B73/12,1))</f>
        <v/>
      </c>
      <c r="D73" s="3">
        <f>G72*Sheet1!$C$5/12</f>
        <v>-3.9917722460813814E-11</v>
      </c>
      <c r="E73" s="3">
        <f>IF(G72&lt;0.01,0,Sheet1!$C$6-D73)</f>
        <v>0</v>
      </c>
      <c r="F73" s="3">
        <f>F72+D73+E73</f>
        <v>533725.41056715336</v>
      </c>
      <c r="G73" s="3">
        <f>G72-E73</f>
        <v>-2.661181497387588E-9</v>
      </c>
      <c r="H73" s="3">
        <f>E73+H72</f>
        <v>440000.00000000268</v>
      </c>
    </row>
    <row r="74" spans="1:8" x14ac:dyDescent="0.25">
      <c r="A74" t="str">
        <f>IF(ISBLANK(B74),"",CEILING(B74/12,1))</f>
        <v/>
      </c>
      <c r="D74" s="3">
        <f>G73*Sheet1!$C$5/12</f>
        <v>-3.9917722460813814E-11</v>
      </c>
      <c r="E74" s="3">
        <f>IF(G73&lt;0.01,0,Sheet1!$C$6-D74)</f>
        <v>0</v>
      </c>
      <c r="F74" s="3">
        <f>F73+D74+E74</f>
        <v>533725.41056715336</v>
      </c>
      <c r="G74" s="3">
        <f>G73-E74</f>
        <v>-2.661181497387588E-9</v>
      </c>
      <c r="H74" s="3">
        <f>E74+H73</f>
        <v>440000.00000000268</v>
      </c>
    </row>
    <row r="75" spans="1:8" x14ac:dyDescent="0.25">
      <c r="A75" t="str">
        <f>IF(ISBLANK(B75),"",CEILING(B75/12,1))</f>
        <v/>
      </c>
      <c r="D75" s="3">
        <f>G74*Sheet1!$C$5/12</f>
        <v>-3.9917722460813814E-11</v>
      </c>
      <c r="E75" s="3">
        <f>IF(G74&lt;0.01,0,Sheet1!$C$6-D75)</f>
        <v>0</v>
      </c>
      <c r="F75" s="3">
        <f>F74+D75+E75</f>
        <v>533725.41056715336</v>
      </c>
      <c r="G75" s="3">
        <f>G74-E75</f>
        <v>-2.661181497387588E-9</v>
      </c>
      <c r="H75" s="3">
        <f>E75+H74</f>
        <v>440000.00000000268</v>
      </c>
    </row>
    <row r="76" spans="1:8" x14ac:dyDescent="0.25">
      <c r="A76" t="str">
        <f>IF(ISBLANK(B76),"",CEILING(B76/12,1))</f>
        <v/>
      </c>
      <c r="D76" s="3">
        <f>G75*Sheet1!$C$5/12</f>
        <v>-3.9917722460813814E-11</v>
      </c>
      <c r="E76" s="3">
        <f>IF(G75&lt;0.01,0,Sheet1!$C$6-D76)</f>
        <v>0</v>
      </c>
      <c r="F76" s="3">
        <f>F75+D76+E76</f>
        <v>533725.41056715336</v>
      </c>
      <c r="G76" s="3">
        <f>G75-E76</f>
        <v>-2.661181497387588E-9</v>
      </c>
      <c r="H76" s="3">
        <f>E76+H75</f>
        <v>440000.00000000268</v>
      </c>
    </row>
    <row r="77" spans="1:8" x14ac:dyDescent="0.25">
      <c r="A77" t="str">
        <f>IF(ISBLANK(B77),"",CEILING(B77/12,1))</f>
        <v/>
      </c>
      <c r="D77" s="3">
        <f>G76*Sheet1!$C$5/12</f>
        <v>-3.9917722460813814E-11</v>
      </c>
      <c r="E77" s="3">
        <f>IF(G76&lt;0.01,0,Sheet1!$C$6-D77)</f>
        <v>0</v>
      </c>
      <c r="F77" s="3">
        <f>F76+D77+E77</f>
        <v>533725.41056715336</v>
      </c>
      <c r="G77" s="3">
        <f>G76-E77</f>
        <v>-2.661181497387588E-9</v>
      </c>
      <c r="H77" s="3">
        <f>E77+H76</f>
        <v>440000.00000000268</v>
      </c>
    </row>
    <row r="78" spans="1:8" x14ac:dyDescent="0.25">
      <c r="A78" t="str">
        <f>IF(ISBLANK(B78),"",CEILING(B78/12,1))</f>
        <v/>
      </c>
      <c r="D78" s="3">
        <f>G77*Sheet1!$C$5/12</f>
        <v>-3.9917722460813814E-11</v>
      </c>
      <c r="E78" s="3">
        <f>IF(G77&lt;0.01,0,Sheet1!$C$6-D78)</f>
        <v>0</v>
      </c>
      <c r="F78" s="3">
        <f>F77+D78+E78</f>
        <v>533725.41056715336</v>
      </c>
      <c r="G78" s="3">
        <f>G77-E78</f>
        <v>-2.661181497387588E-9</v>
      </c>
      <c r="H78" s="3">
        <f>E78+H77</f>
        <v>440000.00000000268</v>
      </c>
    </row>
    <row r="79" spans="1:8" x14ac:dyDescent="0.25">
      <c r="A79" t="str">
        <f>IF(ISBLANK(B79),"",CEILING(B79/12,1))</f>
        <v/>
      </c>
      <c r="D79" s="3">
        <f>G78*Sheet1!$C$5/12</f>
        <v>-3.9917722460813814E-11</v>
      </c>
      <c r="E79" s="3">
        <f>IF(G78&lt;0.01,0,Sheet1!$C$6-D79)</f>
        <v>0</v>
      </c>
      <c r="F79" s="3">
        <f>F78+D79+E79</f>
        <v>533725.41056715336</v>
      </c>
      <c r="G79" s="3">
        <f>G78-E79</f>
        <v>-2.661181497387588E-9</v>
      </c>
      <c r="H79" s="3">
        <f>E79+H78</f>
        <v>440000.00000000268</v>
      </c>
    </row>
    <row r="80" spans="1:8" x14ac:dyDescent="0.25">
      <c r="A80" t="str">
        <f>IF(ISBLANK(B80),"",CEILING(B80/12,1))</f>
        <v/>
      </c>
      <c r="D80" s="3">
        <f>G79*Sheet1!$C$5/12</f>
        <v>-3.9917722460813814E-11</v>
      </c>
      <c r="E80" s="3">
        <f>IF(G79&lt;0.01,0,Sheet1!$C$6-D80)</f>
        <v>0</v>
      </c>
      <c r="F80" s="3">
        <f>F79+D80+E80</f>
        <v>533725.41056715336</v>
      </c>
      <c r="G80" s="3">
        <f>G79-E80</f>
        <v>-2.661181497387588E-9</v>
      </c>
      <c r="H80" s="3">
        <f>E80+H79</f>
        <v>440000.00000000268</v>
      </c>
    </row>
    <row r="81" spans="1:8" x14ac:dyDescent="0.25">
      <c r="A81" t="str">
        <f t="shared" ref="A81:A144" si="0">IF(ISBLANK(B81),"",CEILING(B81/12,1))</f>
        <v/>
      </c>
      <c r="D81" s="3">
        <f>G80*Sheet1!$C$5/12</f>
        <v>-3.9917722460813814E-11</v>
      </c>
      <c r="E81" s="3">
        <f>IF(G80&lt;0.01,0,Sheet1!$C$6-D81)</f>
        <v>0</v>
      </c>
      <c r="F81" s="3">
        <f t="shared" ref="F81:F144" si="1">F80+D81+E81</f>
        <v>533725.41056715336</v>
      </c>
      <c r="G81" s="3">
        <f t="shared" ref="G81:G144" si="2">G80-E81</f>
        <v>-2.661181497387588E-9</v>
      </c>
      <c r="H81" s="3">
        <f t="shared" ref="H81:H144" si="3">E81+H80</f>
        <v>440000.00000000268</v>
      </c>
    </row>
    <row r="82" spans="1:8" x14ac:dyDescent="0.25">
      <c r="A82" t="str">
        <f t="shared" si="0"/>
        <v/>
      </c>
      <c r="D82" s="3">
        <f>G81*Sheet1!$C$5/12</f>
        <v>-3.9917722460813814E-11</v>
      </c>
      <c r="E82" s="3">
        <f>IF(G81&lt;0.01,0,Sheet1!$C$6-D82)</f>
        <v>0</v>
      </c>
      <c r="F82" s="3">
        <f t="shared" si="1"/>
        <v>533725.41056715336</v>
      </c>
      <c r="G82" s="3">
        <f t="shared" si="2"/>
        <v>-2.661181497387588E-9</v>
      </c>
      <c r="H82" s="3">
        <f t="shared" si="3"/>
        <v>440000.00000000268</v>
      </c>
    </row>
    <row r="83" spans="1:8" x14ac:dyDescent="0.25">
      <c r="A83" t="str">
        <f t="shared" si="0"/>
        <v/>
      </c>
      <c r="D83" s="3">
        <f>G82*Sheet1!$C$5/12</f>
        <v>-3.9917722460813814E-11</v>
      </c>
      <c r="E83" s="3">
        <f>IF(G82&lt;0.01,0,Sheet1!$C$6-D83)</f>
        <v>0</v>
      </c>
      <c r="F83" s="3">
        <f t="shared" si="1"/>
        <v>533725.41056715336</v>
      </c>
      <c r="G83" s="3">
        <f t="shared" si="2"/>
        <v>-2.661181497387588E-9</v>
      </c>
      <c r="H83" s="3">
        <f t="shared" si="3"/>
        <v>440000.00000000268</v>
      </c>
    </row>
    <row r="84" spans="1:8" x14ac:dyDescent="0.25">
      <c r="A84" t="str">
        <f t="shared" si="0"/>
        <v/>
      </c>
      <c r="D84" s="3">
        <f>G83*Sheet1!$C$5/12</f>
        <v>-3.9917722460813814E-11</v>
      </c>
      <c r="E84" s="3">
        <f>IF(G83&lt;0.01,0,Sheet1!$C$6-D84)</f>
        <v>0</v>
      </c>
      <c r="F84" s="3">
        <f t="shared" si="1"/>
        <v>533725.41056715336</v>
      </c>
      <c r="G84" s="3">
        <f t="shared" si="2"/>
        <v>-2.661181497387588E-9</v>
      </c>
      <c r="H84" s="3">
        <f t="shared" si="3"/>
        <v>440000.00000000268</v>
      </c>
    </row>
    <row r="85" spans="1:8" x14ac:dyDescent="0.25">
      <c r="A85" t="str">
        <f t="shared" si="0"/>
        <v/>
      </c>
      <c r="D85" s="3">
        <f>G84*Sheet1!$C$5/12</f>
        <v>-3.9917722460813814E-11</v>
      </c>
      <c r="E85" s="3">
        <f>IF(G84&lt;0.01,0,Sheet1!$C$6-D85)</f>
        <v>0</v>
      </c>
      <c r="F85" s="3">
        <f t="shared" si="1"/>
        <v>533725.41056715336</v>
      </c>
      <c r="G85" s="3">
        <f t="shared" si="2"/>
        <v>-2.661181497387588E-9</v>
      </c>
      <c r="H85" s="3">
        <f t="shared" si="3"/>
        <v>440000.00000000268</v>
      </c>
    </row>
    <row r="86" spans="1:8" x14ac:dyDescent="0.25">
      <c r="A86" t="str">
        <f t="shared" si="0"/>
        <v/>
      </c>
      <c r="D86" s="3">
        <f>G85*Sheet1!$C$5/12</f>
        <v>-3.9917722460813814E-11</v>
      </c>
      <c r="E86" s="3">
        <f>IF(G85&lt;0.01,0,Sheet1!$C$6-D86)</f>
        <v>0</v>
      </c>
      <c r="F86" s="3">
        <f t="shared" si="1"/>
        <v>533725.41056715336</v>
      </c>
      <c r="G86" s="3">
        <f t="shared" si="2"/>
        <v>-2.661181497387588E-9</v>
      </c>
      <c r="H86" s="3">
        <f t="shared" si="3"/>
        <v>440000.00000000268</v>
      </c>
    </row>
    <row r="87" spans="1:8" x14ac:dyDescent="0.25">
      <c r="A87" t="str">
        <f t="shared" si="0"/>
        <v/>
      </c>
      <c r="D87" s="3">
        <f>G86*Sheet1!$C$5/12</f>
        <v>-3.9917722460813814E-11</v>
      </c>
      <c r="E87" s="3">
        <f>IF(G86&lt;0.01,0,Sheet1!$C$6-D87)</f>
        <v>0</v>
      </c>
      <c r="F87" s="3">
        <f t="shared" si="1"/>
        <v>533725.41056715336</v>
      </c>
      <c r="G87" s="3">
        <f t="shared" si="2"/>
        <v>-2.661181497387588E-9</v>
      </c>
      <c r="H87" s="3">
        <f t="shared" si="3"/>
        <v>440000.00000000268</v>
      </c>
    </row>
    <row r="88" spans="1:8" x14ac:dyDescent="0.25">
      <c r="A88" t="str">
        <f t="shared" si="0"/>
        <v/>
      </c>
      <c r="D88" s="3">
        <f>G87*Sheet1!$C$5/12</f>
        <v>-3.9917722460813814E-11</v>
      </c>
      <c r="E88" s="3">
        <f>IF(G87&lt;0.01,0,Sheet1!$C$6-D88)</f>
        <v>0</v>
      </c>
      <c r="F88" s="3">
        <f t="shared" si="1"/>
        <v>533725.41056715336</v>
      </c>
      <c r="G88" s="3">
        <f t="shared" si="2"/>
        <v>-2.661181497387588E-9</v>
      </c>
      <c r="H88" s="3">
        <f t="shared" si="3"/>
        <v>440000.00000000268</v>
      </c>
    </row>
    <row r="89" spans="1:8" x14ac:dyDescent="0.25">
      <c r="A89" t="str">
        <f t="shared" si="0"/>
        <v/>
      </c>
      <c r="D89" s="3">
        <f>G88*Sheet1!$C$5/12</f>
        <v>-3.9917722460813814E-11</v>
      </c>
      <c r="E89" s="3">
        <f>IF(G88&lt;0.01,0,Sheet1!$C$6-D89)</f>
        <v>0</v>
      </c>
      <c r="F89" s="3">
        <f t="shared" si="1"/>
        <v>533725.41056715336</v>
      </c>
      <c r="G89" s="3">
        <f t="shared" si="2"/>
        <v>-2.661181497387588E-9</v>
      </c>
      <c r="H89" s="3">
        <f t="shared" si="3"/>
        <v>440000.00000000268</v>
      </c>
    </row>
    <row r="90" spans="1:8" x14ac:dyDescent="0.25">
      <c r="A90" t="str">
        <f t="shared" si="0"/>
        <v/>
      </c>
      <c r="D90" s="3">
        <f>G89*Sheet1!$C$5/12</f>
        <v>-3.9917722460813814E-11</v>
      </c>
      <c r="E90" s="3">
        <f>IF(G89&lt;0.01,0,Sheet1!$C$6-D90)</f>
        <v>0</v>
      </c>
      <c r="F90" s="3">
        <f t="shared" si="1"/>
        <v>533725.41056715336</v>
      </c>
      <c r="G90" s="3">
        <f t="shared" si="2"/>
        <v>-2.661181497387588E-9</v>
      </c>
      <c r="H90" s="3">
        <f t="shared" si="3"/>
        <v>440000.00000000268</v>
      </c>
    </row>
    <row r="91" spans="1:8" x14ac:dyDescent="0.25">
      <c r="A91" t="str">
        <f t="shared" si="0"/>
        <v/>
      </c>
      <c r="D91" s="3">
        <f>G90*Sheet1!$C$5/12</f>
        <v>-3.9917722460813814E-11</v>
      </c>
      <c r="E91" s="3">
        <f>IF(G90&lt;0.01,0,Sheet1!$C$6-D91)</f>
        <v>0</v>
      </c>
      <c r="F91" s="3">
        <f t="shared" si="1"/>
        <v>533725.41056715336</v>
      </c>
      <c r="G91" s="3">
        <f t="shared" si="2"/>
        <v>-2.661181497387588E-9</v>
      </c>
      <c r="H91" s="3">
        <f t="shared" si="3"/>
        <v>440000.00000000268</v>
      </c>
    </row>
    <row r="92" spans="1:8" x14ac:dyDescent="0.25">
      <c r="A92" t="str">
        <f t="shared" si="0"/>
        <v/>
      </c>
      <c r="D92" s="3">
        <f>G91*Sheet1!$C$5/12</f>
        <v>-3.9917722460813814E-11</v>
      </c>
      <c r="E92" s="3">
        <f>IF(G91&lt;0.01,0,Sheet1!$C$6-D92)</f>
        <v>0</v>
      </c>
      <c r="F92" s="3">
        <f t="shared" si="1"/>
        <v>533725.41056715336</v>
      </c>
      <c r="G92" s="3">
        <f t="shared" si="2"/>
        <v>-2.661181497387588E-9</v>
      </c>
      <c r="H92" s="3">
        <f t="shared" si="3"/>
        <v>440000.00000000268</v>
      </c>
    </row>
    <row r="93" spans="1:8" x14ac:dyDescent="0.25">
      <c r="A93" t="str">
        <f t="shared" si="0"/>
        <v/>
      </c>
      <c r="D93" s="3">
        <f>G92*Sheet1!$C$5/12</f>
        <v>-3.9917722460813814E-11</v>
      </c>
      <c r="E93" s="3">
        <f>IF(G92&lt;0.01,0,Sheet1!$C$6-D93)</f>
        <v>0</v>
      </c>
      <c r="F93" s="3">
        <f t="shared" si="1"/>
        <v>533725.41056715336</v>
      </c>
      <c r="G93" s="3">
        <f t="shared" si="2"/>
        <v>-2.661181497387588E-9</v>
      </c>
      <c r="H93" s="3">
        <f t="shared" si="3"/>
        <v>440000.00000000268</v>
      </c>
    </row>
    <row r="94" spans="1:8" x14ac:dyDescent="0.25">
      <c r="A94" t="str">
        <f t="shared" si="0"/>
        <v/>
      </c>
      <c r="D94" s="3">
        <f>G93*Sheet1!$C$5/12</f>
        <v>-3.9917722460813814E-11</v>
      </c>
      <c r="E94" s="3">
        <f>IF(G93&lt;0.01,0,Sheet1!$C$6-D94)</f>
        <v>0</v>
      </c>
      <c r="F94" s="3">
        <f t="shared" si="1"/>
        <v>533725.41056715336</v>
      </c>
      <c r="G94" s="3">
        <f t="shared" si="2"/>
        <v>-2.661181497387588E-9</v>
      </c>
      <c r="H94" s="3">
        <f t="shared" si="3"/>
        <v>440000.00000000268</v>
      </c>
    </row>
    <row r="95" spans="1:8" x14ac:dyDescent="0.25">
      <c r="A95" t="str">
        <f t="shared" si="0"/>
        <v/>
      </c>
      <c r="D95" s="3">
        <f>G94*Sheet1!$C$5/12</f>
        <v>-3.9917722460813814E-11</v>
      </c>
      <c r="E95" s="3">
        <f>IF(G94&lt;0.01,0,Sheet1!$C$6-D95)</f>
        <v>0</v>
      </c>
      <c r="F95" s="3">
        <f t="shared" si="1"/>
        <v>533725.41056715336</v>
      </c>
      <c r="G95" s="3">
        <f t="shared" si="2"/>
        <v>-2.661181497387588E-9</v>
      </c>
      <c r="H95" s="3">
        <f t="shared" si="3"/>
        <v>440000.00000000268</v>
      </c>
    </row>
    <row r="96" spans="1:8" x14ac:dyDescent="0.25">
      <c r="A96" t="str">
        <f t="shared" si="0"/>
        <v/>
      </c>
      <c r="D96" s="3">
        <f>G95*Sheet1!$C$5/12</f>
        <v>-3.9917722460813814E-11</v>
      </c>
      <c r="E96" s="3">
        <f>IF(G95&lt;0.01,0,Sheet1!$C$6-D96)</f>
        <v>0</v>
      </c>
      <c r="F96" s="3">
        <f t="shared" si="1"/>
        <v>533725.41056715336</v>
      </c>
      <c r="G96" s="3">
        <f t="shared" si="2"/>
        <v>-2.661181497387588E-9</v>
      </c>
      <c r="H96" s="3">
        <f t="shared" si="3"/>
        <v>440000.00000000268</v>
      </c>
    </row>
    <row r="97" spans="1:8" x14ac:dyDescent="0.25">
      <c r="A97" t="str">
        <f t="shared" si="0"/>
        <v/>
      </c>
      <c r="D97" s="3">
        <f>G96*Sheet1!$C$5/12</f>
        <v>-3.9917722460813814E-11</v>
      </c>
      <c r="E97" s="3">
        <f>IF(G96&lt;0.01,0,Sheet1!$C$6-D97)</f>
        <v>0</v>
      </c>
      <c r="F97" s="3">
        <f t="shared" si="1"/>
        <v>533725.41056715336</v>
      </c>
      <c r="G97" s="3">
        <f t="shared" si="2"/>
        <v>-2.661181497387588E-9</v>
      </c>
      <c r="H97" s="3">
        <f t="shared" si="3"/>
        <v>440000.00000000268</v>
      </c>
    </row>
    <row r="98" spans="1:8" x14ac:dyDescent="0.25">
      <c r="A98" t="str">
        <f t="shared" si="0"/>
        <v/>
      </c>
      <c r="D98" s="3">
        <f>G97*Sheet1!$C$5/12</f>
        <v>-3.9917722460813814E-11</v>
      </c>
      <c r="E98" s="3">
        <f>IF(G97&lt;0.01,0,Sheet1!$C$6-D98)</f>
        <v>0</v>
      </c>
      <c r="F98" s="3">
        <f t="shared" si="1"/>
        <v>533725.41056715336</v>
      </c>
      <c r="G98" s="3">
        <f t="shared" si="2"/>
        <v>-2.661181497387588E-9</v>
      </c>
      <c r="H98" s="3">
        <f t="shared" si="3"/>
        <v>440000.00000000268</v>
      </c>
    </row>
    <row r="99" spans="1:8" x14ac:dyDescent="0.25">
      <c r="A99" t="str">
        <f t="shared" si="0"/>
        <v/>
      </c>
      <c r="D99" s="3">
        <f>G98*Sheet1!$C$5/12</f>
        <v>-3.9917722460813814E-11</v>
      </c>
      <c r="E99" s="3">
        <f>IF(G98&lt;0.01,0,Sheet1!$C$6-D99)</f>
        <v>0</v>
      </c>
      <c r="F99" s="3">
        <f t="shared" si="1"/>
        <v>533725.41056715336</v>
      </c>
      <c r="G99" s="3">
        <f t="shared" si="2"/>
        <v>-2.661181497387588E-9</v>
      </c>
      <c r="H99" s="3">
        <f t="shared" si="3"/>
        <v>440000.00000000268</v>
      </c>
    </row>
    <row r="100" spans="1:8" x14ac:dyDescent="0.25">
      <c r="A100" t="str">
        <f t="shared" si="0"/>
        <v/>
      </c>
      <c r="D100" s="3">
        <f>G99*Sheet1!$C$5/12</f>
        <v>-3.9917722460813814E-11</v>
      </c>
      <c r="E100" s="3">
        <f>IF(G99&lt;0.01,0,Sheet1!$C$6-D100)</f>
        <v>0</v>
      </c>
      <c r="F100" s="3">
        <f t="shared" si="1"/>
        <v>533725.41056715336</v>
      </c>
      <c r="G100" s="3">
        <f t="shared" si="2"/>
        <v>-2.661181497387588E-9</v>
      </c>
      <c r="H100" s="3">
        <f t="shared" si="3"/>
        <v>440000.00000000268</v>
      </c>
    </row>
    <row r="101" spans="1:8" x14ac:dyDescent="0.25">
      <c r="A101" t="str">
        <f t="shared" si="0"/>
        <v/>
      </c>
      <c r="D101" s="3">
        <f>G100*Sheet1!$C$5/12</f>
        <v>-3.9917722460813814E-11</v>
      </c>
      <c r="E101" s="3">
        <f>IF(G100&lt;0.01,0,Sheet1!$C$6-D101)</f>
        <v>0</v>
      </c>
      <c r="F101" s="3">
        <f t="shared" si="1"/>
        <v>533725.41056715336</v>
      </c>
      <c r="G101" s="3">
        <f t="shared" si="2"/>
        <v>-2.661181497387588E-9</v>
      </c>
      <c r="H101" s="3">
        <f t="shared" si="3"/>
        <v>440000.00000000268</v>
      </c>
    </row>
    <row r="102" spans="1:8" x14ac:dyDescent="0.25">
      <c r="A102" t="str">
        <f t="shared" si="0"/>
        <v/>
      </c>
      <c r="D102" s="3">
        <f>G101*Sheet1!$C$5/12</f>
        <v>-3.9917722460813814E-11</v>
      </c>
      <c r="E102" s="3">
        <f>IF(G101&lt;0.01,0,Sheet1!$C$6-D102)</f>
        <v>0</v>
      </c>
      <c r="F102" s="3">
        <f t="shared" si="1"/>
        <v>533725.41056715336</v>
      </c>
      <c r="G102" s="3">
        <f t="shared" si="2"/>
        <v>-2.661181497387588E-9</v>
      </c>
      <c r="H102" s="3">
        <f t="shared" si="3"/>
        <v>440000.00000000268</v>
      </c>
    </row>
    <row r="103" spans="1:8" x14ac:dyDescent="0.25">
      <c r="A103" t="str">
        <f t="shared" si="0"/>
        <v/>
      </c>
      <c r="D103" s="3">
        <f>G102*Sheet1!$C$5/12</f>
        <v>-3.9917722460813814E-11</v>
      </c>
      <c r="E103" s="3">
        <f>IF(G102&lt;0.01,0,Sheet1!$C$6-D103)</f>
        <v>0</v>
      </c>
      <c r="F103" s="3">
        <f t="shared" si="1"/>
        <v>533725.41056715336</v>
      </c>
      <c r="G103" s="3">
        <f t="shared" si="2"/>
        <v>-2.661181497387588E-9</v>
      </c>
      <c r="H103" s="3">
        <f t="shared" si="3"/>
        <v>440000.00000000268</v>
      </c>
    </row>
    <row r="104" spans="1:8" x14ac:dyDescent="0.25">
      <c r="A104" t="str">
        <f t="shared" si="0"/>
        <v/>
      </c>
      <c r="D104" s="3">
        <f>G103*Sheet1!$C$5/12</f>
        <v>-3.9917722460813814E-11</v>
      </c>
      <c r="E104" s="3">
        <f>IF(G103&lt;0.01,0,Sheet1!$C$6-D104)</f>
        <v>0</v>
      </c>
      <c r="F104" s="3">
        <f t="shared" si="1"/>
        <v>533725.41056715336</v>
      </c>
      <c r="G104" s="3">
        <f t="shared" si="2"/>
        <v>-2.661181497387588E-9</v>
      </c>
      <c r="H104" s="3">
        <f t="shared" si="3"/>
        <v>440000.00000000268</v>
      </c>
    </row>
    <row r="105" spans="1:8" x14ac:dyDescent="0.25">
      <c r="A105" t="str">
        <f t="shared" si="0"/>
        <v/>
      </c>
      <c r="D105" s="3">
        <f>G104*Sheet1!$C$5/12</f>
        <v>-3.9917722460813814E-11</v>
      </c>
      <c r="E105" s="3">
        <f>IF(G104&lt;0.01,0,Sheet1!$C$6-D105)</f>
        <v>0</v>
      </c>
      <c r="F105" s="3">
        <f t="shared" si="1"/>
        <v>533725.41056715336</v>
      </c>
      <c r="G105" s="3">
        <f t="shared" si="2"/>
        <v>-2.661181497387588E-9</v>
      </c>
      <c r="H105" s="3">
        <f t="shared" si="3"/>
        <v>440000.00000000268</v>
      </c>
    </row>
    <row r="106" spans="1:8" x14ac:dyDescent="0.25">
      <c r="A106" t="str">
        <f t="shared" si="0"/>
        <v/>
      </c>
      <c r="D106" s="3">
        <f>G105*Sheet1!$C$5/12</f>
        <v>-3.9917722460813814E-11</v>
      </c>
      <c r="E106" s="3">
        <f>IF(G105&lt;0.01,0,Sheet1!$C$6-D106)</f>
        <v>0</v>
      </c>
      <c r="F106" s="3">
        <f t="shared" si="1"/>
        <v>533725.41056715336</v>
      </c>
      <c r="G106" s="3">
        <f t="shared" si="2"/>
        <v>-2.661181497387588E-9</v>
      </c>
      <c r="H106" s="3">
        <f t="shared" si="3"/>
        <v>440000.00000000268</v>
      </c>
    </row>
    <row r="107" spans="1:8" x14ac:dyDescent="0.25">
      <c r="A107" t="str">
        <f t="shared" si="0"/>
        <v/>
      </c>
      <c r="D107" s="3">
        <f>G106*Sheet1!$C$5/12</f>
        <v>-3.9917722460813814E-11</v>
      </c>
      <c r="E107" s="3">
        <f>IF(G106&lt;0.01,0,Sheet1!$C$6-D107)</f>
        <v>0</v>
      </c>
      <c r="F107" s="3">
        <f t="shared" si="1"/>
        <v>533725.41056715336</v>
      </c>
      <c r="G107" s="3">
        <f t="shared" si="2"/>
        <v>-2.661181497387588E-9</v>
      </c>
      <c r="H107" s="3">
        <f t="shared" si="3"/>
        <v>440000.00000000268</v>
      </c>
    </row>
    <row r="108" spans="1:8" x14ac:dyDescent="0.25">
      <c r="A108" t="str">
        <f t="shared" si="0"/>
        <v/>
      </c>
      <c r="D108" s="3">
        <f>G107*Sheet1!$C$5/12</f>
        <v>-3.9917722460813814E-11</v>
      </c>
      <c r="E108" s="3">
        <f>IF(G107&lt;0.01,0,Sheet1!$C$6-D108)</f>
        <v>0</v>
      </c>
      <c r="F108" s="3">
        <f t="shared" si="1"/>
        <v>533725.41056715336</v>
      </c>
      <c r="G108" s="3">
        <f t="shared" si="2"/>
        <v>-2.661181497387588E-9</v>
      </c>
      <c r="H108" s="3">
        <f t="shared" si="3"/>
        <v>440000.00000000268</v>
      </c>
    </row>
    <row r="109" spans="1:8" x14ac:dyDescent="0.25">
      <c r="A109" t="str">
        <f t="shared" si="0"/>
        <v/>
      </c>
      <c r="D109" s="3">
        <f>G108*Sheet1!$C$5/12</f>
        <v>-3.9917722460813814E-11</v>
      </c>
      <c r="E109" s="3">
        <f>IF(G108&lt;0.01,0,Sheet1!$C$6-D109)</f>
        <v>0</v>
      </c>
      <c r="F109" s="3">
        <f t="shared" si="1"/>
        <v>533725.41056715336</v>
      </c>
      <c r="G109" s="3">
        <f t="shared" si="2"/>
        <v>-2.661181497387588E-9</v>
      </c>
      <c r="H109" s="3">
        <f t="shared" si="3"/>
        <v>440000.00000000268</v>
      </c>
    </row>
    <row r="110" spans="1:8" x14ac:dyDescent="0.25">
      <c r="A110" t="str">
        <f t="shared" si="0"/>
        <v/>
      </c>
      <c r="D110" s="3">
        <f>G109*Sheet1!$C$5/12</f>
        <v>-3.9917722460813814E-11</v>
      </c>
      <c r="E110" s="3">
        <f>IF(G109&lt;0.01,0,Sheet1!$C$6-D110)</f>
        <v>0</v>
      </c>
      <c r="F110" s="3">
        <f t="shared" si="1"/>
        <v>533725.41056715336</v>
      </c>
      <c r="G110" s="3">
        <f t="shared" si="2"/>
        <v>-2.661181497387588E-9</v>
      </c>
      <c r="H110" s="3">
        <f t="shared" si="3"/>
        <v>440000.00000000268</v>
      </c>
    </row>
    <row r="111" spans="1:8" x14ac:dyDescent="0.25">
      <c r="A111" t="str">
        <f t="shared" si="0"/>
        <v/>
      </c>
      <c r="D111" s="3">
        <f>G110*Sheet1!$C$5/12</f>
        <v>-3.9917722460813814E-11</v>
      </c>
      <c r="E111" s="3">
        <f>IF(G110&lt;0.01,0,Sheet1!$C$6-D111)</f>
        <v>0</v>
      </c>
      <c r="F111" s="3">
        <f t="shared" si="1"/>
        <v>533725.41056715336</v>
      </c>
      <c r="G111" s="3">
        <f t="shared" si="2"/>
        <v>-2.661181497387588E-9</v>
      </c>
      <c r="H111" s="3">
        <f t="shared" si="3"/>
        <v>440000.00000000268</v>
      </c>
    </row>
    <row r="112" spans="1:8" x14ac:dyDescent="0.25">
      <c r="A112" t="str">
        <f t="shared" si="0"/>
        <v/>
      </c>
      <c r="D112" s="3">
        <f>G111*Sheet1!$C$5/12</f>
        <v>-3.9917722460813814E-11</v>
      </c>
      <c r="E112" s="3">
        <f>IF(G111&lt;0.01,0,Sheet1!$C$6-D112)</f>
        <v>0</v>
      </c>
      <c r="F112" s="3">
        <f t="shared" si="1"/>
        <v>533725.41056715336</v>
      </c>
      <c r="G112" s="3">
        <f t="shared" si="2"/>
        <v>-2.661181497387588E-9</v>
      </c>
      <c r="H112" s="3">
        <f t="shared" si="3"/>
        <v>440000.00000000268</v>
      </c>
    </row>
    <row r="113" spans="1:8" x14ac:dyDescent="0.25">
      <c r="A113" t="str">
        <f t="shared" si="0"/>
        <v/>
      </c>
      <c r="D113" s="3">
        <f>G112*Sheet1!$C$5/12</f>
        <v>-3.9917722460813814E-11</v>
      </c>
      <c r="E113" s="3">
        <f>IF(G112&lt;0.01,0,Sheet1!$C$6-D113)</f>
        <v>0</v>
      </c>
      <c r="F113" s="3">
        <f t="shared" si="1"/>
        <v>533725.41056715336</v>
      </c>
      <c r="G113" s="3">
        <f t="shared" si="2"/>
        <v>-2.661181497387588E-9</v>
      </c>
      <c r="H113" s="3">
        <f t="shared" si="3"/>
        <v>440000.00000000268</v>
      </c>
    </row>
    <row r="114" spans="1:8" x14ac:dyDescent="0.25">
      <c r="A114" t="str">
        <f t="shared" si="0"/>
        <v/>
      </c>
      <c r="D114" s="3">
        <f>G113*Sheet1!$C$5/12</f>
        <v>-3.9917722460813814E-11</v>
      </c>
      <c r="E114" s="3">
        <f>IF(G113&lt;0.01,0,Sheet1!$C$6-D114)</f>
        <v>0</v>
      </c>
      <c r="F114" s="3">
        <f t="shared" si="1"/>
        <v>533725.41056715336</v>
      </c>
      <c r="G114" s="3">
        <f t="shared" si="2"/>
        <v>-2.661181497387588E-9</v>
      </c>
      <c r="H114" s="3">
        <f t="shared" si="3"/>
        <v>440000.00000000268</v>
      </c>
    </row>
    <row r="115" spans="1:8" x14ac:dyDescent="0.25">
      <c r="A115" t="str">
        <f t="shared" si="0"/>
        <v/>
      </c>
      <c r="D115" s="3">
        <f>G114*Sheet1!$C$5/12</f>
        <v>-3.9917722460813814E-11</v>
      </c>
      <c r="E115" s="3">
        <f>IF(G114&lt;0.01,0,Sheet1!$C$6-D115)</f>
        <v>0</v>
      </c>
      <c r="F115" s="3">
        <f t="shared" si="1"/>
        <v>533725.41056715336</v>
      </c>
      <c r="G115" s="3">
        <f t="shared" si="2"/>
        <v>-2.661181497387588E-9</v>
      </c>
      <c r="H115" s="3">
        <f t="shared" si="3"/>
        <v>440000.00000000268</v>
      </c>
    </row>
    <row r="116" spans="1:8" x14ac:dyDescent="0.25">
      <c r="A116" t="str">
        <f t="shared" si="0"/>
        <v/>
      </c>
      <c r="D116" s="3">
        <f>G115*Sheet1!$C$5/12</f>
        <v>-3.9917722460813814E-11</v>
      </c>
      <c r="E116" s="3">
        <f>IF(G115&lt;0.01,0,Sheet1!$C$6-D116)</f>
        <v>0</v>
      </c>
      <c r="F116" s="3">
        <f t="shared" si="1"/>
        <v>533725.41056715336</v>
      </c>
      <c r="G116" s="3">
        <f t="shared" si="2"/>
        <v>-2.661181497387588E-9</v>
      </c>
      <c r="H116" s="3">
        <f t="shared" si="3"/>
        <v>440000.00000000268</v>
      </c>
    </row>
    <row r="117" spans="1:8" x14ac:dyDescent="0.25">
      <c r="A117" t="str">
        <f t="shared" si="0"/>
        <v/>
      </c>
      <c r="D117" s="3">
        <f>G116*Sheet1!$C$5/12</f>
        <v>-3.9917722460813814E-11</v>
      </c>
      <c r="E117" s="3">
        <f>IF(G116&lt;0.01,0,Sheet1!$C$6-D117)</f>
        <v>0</v>
      </c>
      <c r="F117" s="3">
        <f t="shared" si="1"/>
        <v>533725.41056715336</v>
      </c>
      <c r="G117" s="3">
        <f t="shared" si="2"/>
        <v>-2.661181497387588E-9</v>
      </c>
      <c r="H117" s="3">
        <f t="shared" si="3"/>
        <v>440000.00000000268</v>
      </c>
    </row>
    <row r="118" spans="1:8" x14ac:dyDescent="0.25">
      <c r="A118" t="str">
        <f t="shared" si="0"/>
        <v/>
      </c>
      <c r="D118" s="3">
        <f>G117*Sheet1!$C$5/12</f>
        <v>-3.9917722460813814E-11</v>
      </c>
      <c r="E118" s="3">
        <f>IF(G117&lt;0.01,0,Sheet1!$C$6-D118)</f>
        <v>0</v>
      </c>
      <c r="F118" s="3">
        <f t="shared" si="1"/>
        <v>533725.41056715336</v>
      </c>
      <c r="G118" s="3">
        <f t="shared" si="2"/>
        <v>-2.661181497387588E-9</v>
      </c>
      <c r="H118" s="3">
        <f t="shared" si="3"/>
        <v>440000.00000000268</v>
      </c>
    </row>
    <row r="119" spans="1:8" x14ac:dyDescent="0.25">
      <c r="A119" t="str">
        <f t="shared" si="0"/>
        <v/>
      </c>
      <c r="D119" s="3">
        <f>G118*Sheet1!$C$5/12</f>
        <v>-3.9917722460813814E-11</v>
      </c>
      <c r="E119" s="3">
        <f>IF(G118&lt;0.01,0,Sheet1!$C$6-D119)</f>
        <v>0</v>
      </c>
      <c r="F119" s="3">
        <f t="shared" si="1"/>
        <v>533725.41056715336</v>
      </c>
      <c r="G119" s="3">
        <f t="shared" si="2"/>
        <v>-2.661181497387588E-9</v>
      </c>
      <c r="H119" s="3">
        <f t="shared" si="3"/>
        <v>440000.00000000268</v>
      </c>
    </row>
    <row r="120" spans="1:8" x14ac:dyDescent="0.25">
      <c r="A120" t="str">
        <f t="shared" si="0"/>
        <v/>
      </c>
      <c r="D120" s="3">
        <f>G119*Sheet1!$C$5/12</f>
        <v>-3.9917722460813814E-11</v>
      </c>
      <c r="E120" s="3">
        <f>IF(G119&lt;0.01,0,Sheet1!$C$6-D120)</f>
        <v>0</v>
      </c>
      <c r="F120" s="3">
        <f t="shared" si="1"/>
        <v>533725.41056715336</v>
      </c>
      <c r="G120" s="3">
        <f t="shared" si="2"/>
        <v>-2.661181497387588E-9</v>
      </c>
      <c r="H120" s="3">
        <f t="shared" si="3"/>
        <v>440000.00000000268</v>
      </c>
    </row>
    <row r="121" spans="1:8" x14ac:dyDescent="0.25">
      <c r="A121" t="str">
        <f t="shared" si="0"/>
        <v/>
      </c>
      <c r="D121" s="3">
        <f>G120*Sheet1!$C$5/12</f>
        <v>-3.9917722460813814E-11</v>
      </c>
      <c r="E121" s="3">
        <f>IF(G120&lt;0.01,0,Sheet1!$C$6-D121)</f>
        <v>0</v>
      </c>
      <c r="F121" s="3">
        <f t="shared" si="1"/>
        <v>533725.41056715336</v>
      </c>
      <c r="G121" s="3">
        <f t="shared" si="2"/>
        <v>-2.661181497387588E-9</v>
      </c>
      <c r="H121" s="3">
        <f t="shared" si="3"/>
        <v>440000.00000000268</v>
      </c>
    </row>
    <row r="122" spans="1:8" x14ac:dyDescent="0.25">
      <c r="A122" t="str">
        <f t="shared" si="0"/>
        <v/>
      </c>
      <c r="D122" s="3">
        <f>G121*Sheet1!$C$5/12</f>
        <v>-3.9917722460813814E-11</v>
      </c>
      <c r="E122" s="3">
        <f>IF(G121&lt;0.01,0,Sheet1!$C$6-D122)</f>
        <v>0</v>
      </c>
      <c r="F122" s="3">
        <f t="shared" si="1"/>
        <v>533725.41056715336</v>
      </c>
      <c r="G122" s="3">
        <f t="shared" si="2"/>
        <v>-2.661181497387588E-9</v>
      </c>
      <c r="H122" s="3">
        <f t="shared" si="3"/>
        <v>440000.00000000268</v>
      </c>
    </row>
    <row r="123" spans="1:8" x14ac:dyDescent="0.25">
      <c r="A123" t="str">
        <f t="shared" si="0"/>
        <v/>
      </c>
      <c r="D123" s="3">
        <f>G122*Sheet1!$C$5/12</f>
        <v>-3.9917722460813814E-11</v>
      </c>
      <c r="E123" s="3">
        <f>IF(G122&lt;0.01,0,Sheet1!$C$6-D123)</f>
        <v>0</v>
      </c>
      <c r="F123" s="3">
        <f t="shared" si="1"/>
        <v>533725.41056715336</v>
      </c>
      <c r="G123" s="3">
        <f t="shared" si="2"/>
        <v>-2.661181497387588E-9</v>
      </c>
      <c r="H123" s="3">
        <f t="shared" si="3"/>
        <v>440000.00000000268</v>
      </c>
    </row>
    <row r="124" spans="1:8" x14ac:dyDescent="0.25">
      <c r="A124" t="str">
        <f t="shared" si="0"/>
        <v/>
      </c>
      <c r="D124" s="3">
        <f>G123*Sheet1!$C$5/12</f>
        <v>-3.9917722460813814E-11</v>
      </c>
      <c r="E124" s="3">
        <f>IF(G123&lt;0.01,0,Sheet1!$C$6-D124)</f>
        <v>0</v>
      </c>
      <c r="F124" s="3">
        <f t="shared" si="1"/>
        <v>533725.41056715336</v>
      </c>
      <c r="G124" s="3">
        <f t="shared" si="2"/>
        <v>-2.661181497387588E-9</v>
      </c>
      <c r="H124" s="3">
        <f t="shared" si="3"/>
        <v>440000.00000000268</v>
      </c>
    </row>
    <row r="125" spans="1:8" x14ac:dyDescent="0.25">
      <c r="A125" t="str">
        <f t="shared" si="0"/>
        <v/>
      </c>
      <c r="D125" s="3">
        <f>G124*Sheet1!$C$5/12</f>
        <v>-3.9917722460813814E-11</v>
      </c>
      <c r="E125" s="3">
        <f>IF(G124&lt;0.01,0,Sheet1!$C$6-D125)</f>
        <v>0</v>
      </c>
      <c r="F125" s="3">
        <f t="shared" si="1"/>
        <v>533725.41056715336</v>
      </c>
      <c r="G125" s="3">
        <f t="shared" si="2"/>
        <v>-2.661181497387588E-9</v>
      </c>
      <c r="H125" s="3">
        <f t="shared" si="3"/>
        <v>440000.00000000268</v>
      </c>
    </row>
    <row r="126" spans="1:8" x14ac:dyDescent="0.25">
      <c r="A126" t="str">
        <f t="shared" si="0"/>
        <v/>
      </c>
      <c r="D126" s="3">
        <f>G125*Sheet1!$C$5/12</f>
        <v>-3.9917722460813814E-11</v>
      </c>
      <c r="E126" s="3">
        <f>IF(G125&lt;0.01,0,Sheet1!$C$6-D126)</f>
        <v>0</v>
      </c>
      <c r="F126" s="3">
        <f t="shared" si="1"/>
        <v>533725.41056715336</v>
      </c>
      <c r="G126" s="3">
        <f t="shared" si="2"/>
        <v>-2.661181497387588E-9</v>
      </c>
      <c r="H126" s="3">
        <f t="shared" si="3"/>
        <v>440000.00000000268</v>
      </c>
    </row>
    <row r="127" spans="1:8" x14ac:dyDescent="0.25">
      <c r="A127" t="str">
        <f t="shared" si="0"/>
        <v/>
      </c>
      <c r="D127" s="3">
        <f>G126*Sheet1!$C$5/12</f>
        <v>-3.9917722460813814E-11</v>
      </c>
      <c r="E127" s="3">
        <f>IF(G126&lt;0.01,0,Sheet1!$C$6-D127)</f>
        <v>0</v>
      </c>
      <c r="F127" s="3">
        <f t="shared" si="1"/>
        <v>533725.41056715336</v>
      </c>
      <c r="G127" s="3">
        <f t="shared" si="2"/>
        <v>-2.661181497387588E-9</v>
      </c>
      <c r="H127" s="3">
        <f t="shared" si="3"/>
        <v>440000.00000000268</v>
      </c>
    </row>
    <row r="128" spans="1:8" x14ac:dyDescent="0.25">
      <c r="A128" t="str">
        <f t="shared" si="0"/>
        <v/>
      </c>
      <c r="D128" s="3">
        <f>G127*Sheet1!$C$5/12</f>
        <v>-3.9917722460813814E-11</v>
      </c>
      <c r="E128" s="3">
        <f>IF(G127&lt;0.01,0,Sheet1!$C$6-D128)</f>
        <v>0</v>
      </c>
      <c r="F128" s="3">
        <f t="shared" si="1"/>
        <v>533725.41056715336</v>
      </c>
      <c r="G128" s="3">
        <f t="shared" si="2"/>
        <v>-2.661181497387588E-9</v>
      </c>
      <c r="H128" s="3">
        <f t="shared" si="3"/>
        <v>440000.00000000268</v>
      </c>
    </row>
    <row r="129" spans="1:8" x14ac:dyDescent="0.25">
      <c r="A129" t="str">
        <f t="shared" si="0"/>
        <v/>
      </c>
      <c r="D129" s="3">
        <f>G128*Sheet1!$C$5/12</f>
        <v>-3.9917722460813814E-11</v>
      </c>
      <c r="E129" s="3">
        <f>IF(G128&lt;0.01,0,Sheet1!$C$6-D129)</f>
        <v>0</v>
      </c>
      <c r="F129" s="3">
        <f t="shared" si="1"/>
        <v>533725.41056715336</v>
      </c>
      <c r="G129" s="3">
        <f t="shared" si="2"/>
        <v>-2.661181497387588E-9</v>
      </c>
      <c r="H129" s="3">
        <f t="shared" si="3"/>
        <v>440000.00000000268</v>
      </c>
    </row>
    <row r="130" spans="1:8" x14ac:dyDescent="0.25">
      <c r="A130" t="str">
        <f t="shared" si="0"/>
        <v/>
      </c>
      <c r="D130" s="3">
        <f>G129*Sheet1!$C$5/12</f>
        <v>-3.9917722460813814E-11</v>
      </c>
      <c r="E130" s="3">
        <f>IF(G129&lt;0.01,0,Sheet1!$C$6-D130)</f>
        <v>0</v>
      </c>
      <c r="F130" s="3">
        <f t="shared" si="1"/>
        <v>533725.41056715336</v>
      </c>
      <c r="G130" s="3">
        <f t="shared" si="2"/>
        <v>-2.661181497387588E-9</v>
      </c>
      <c r="H130" s="3">
        <f t="shared" si="3"/>
        <v>440000.00000000268</v>
      </c>
    </row>
    <row r="131" spans="1:8" x14ac:dyDescent="0.25">
      <c r="A131" t="str">
        <f t="shared" si="0"/>
        <v/>
      </c>
      <c r="D131" s="3">
        <f>G130*Sheet1!$C$5/12</f>
        <v>-3.9917722460813814E-11</v>
      </c>
      <c r="E131" s="3">
        <f>IF(G130&lt;0.01,0,Sheet1!$C$6-D131)</f>
        <v>0</v>
      </c>
      <c r="F131" s="3">
        <f t="shared" si="1"/>
        <v>533725.41056715336</v>
      </c>
      <c r="G131" s="3">
        <f t="shared" si="2"/>
        <v>-2.661181497387588E-9</v>
      </c>
      <c r="H131" s="3">
        <f t="shared" si="3"/>
        <v>440000.00000000268</v>
      </c>
    </row>
    <row r="132" spans="1:8" x14ac:dyDescent="0.25">
      <c r="A132" t="str">
        <f t="shared" si="0"/>
        <v/>
      </c>
      <c r="D132" s="3">
        <f>G131*Sheet1!$C$5/12</f>
        <v>-3.9917722460813814E-11</v>
      </c>
      <c r="E132" s="3">
        <f>IF(G131&lt;0.01,0,Sheet1!$C$6-D132)</f>
        <v>0</v>
      </c>
      <c r="F132" s="3">
        <f t="shared" si="1"/>
        <v>533725.41056715336</v>
      </c>
      <c r="G132" s="3">
        <f t="shared" si="2"/>
        <v>-2.661181497387588E-9</v>
      </c>
      <c r="H132" s="3">
        <f t="shared" si="3"/>
        <v>440000.00000000268</v>
      </c>
    </row>
    <row r="133" spans="1:8" x14ac:dyDescent="0.25">
      <c r="A133" t="str">
        <f t="shared" si="0"/>
        <v/>
      </c>
      <c r="D133" s="3">
        <f>G132*Sheet1!$C$5/12</f>
        <v>-3.9917722460813814E-11</v>
      </c>
      <c r="E133" s="3">
        <f>IF(G132&lt;0.01,0,Sheet1!$C$6-D133)</f>
        <v>0</v>
      </c>
      <c r="F133" s="3">
        <f t="shared" si="1"/>
        <v>533725.41056715336</v>
      </c>
      <c r="G133" s="3">
        <f t="shared" si="2"/>
        <v>-2.661181497387588E-9</v>
      </c>
      <c r="H133" s="3">
        <f t="shared" si="3"/>
        <v>440000.00000000268</v>
      </c>
    </row>
    <row r="134" spans="1:8" x14ac:dyDescent="0.25">
      <c r="A134" t="str">
        <f t="shared" si="0"/>
        <v/>
      </c>
      <c r="D134" s="3">
        <f>G133*Sheet1!$C$5/12</f>
        <v>-3.9917722460813814E-11</v>
      </c>
      <c r="E134" s="3">
        <f>IF(G133&lt;0.01,0,Sheet1!$C$6-D134)</f>
        <v>0</v>
      </c>
      <c r="F134" s="3">
        <f t="shared" si="1"/>
        <v>533725.41056715336</v>
      </c>
      <c r="G134" s="3">
        <f t="shared" si="2"/>
        <v>-2.661181497387588E-9</v>
      </c>
      <c r="H134" s="3">
        <f t="shared" si="3"/>
        <v>440000.00000000268</v>
      </c>
    </row>
    <row r="135" spans="1:8" x14ac:dyDescent="0.25">
      <c r="A135" t="str">
        <f t="shared" si="0"/>
        <v/>
      </c>
      <c r="D135" s="3">
        <f>G134*Sheet1!$C$5/12</f>
        <v>-3.9917722460813814E-11</v>
      </c>
      <c r="E135" s="3">
        <f>IF(G134&lt;0.01,0,Sheet1!$C$6-D135)</f>
        <v>0</v>
      </c>
      <c r="F135" s="3">
        <f t="shared" si="1"/>
        <v>533725.41056715336</v>
      </c>
      <c r="G135" s="3">
        <f t="shared" si="2"/>
        <v>-2.661181497387588E-9</v>
      </c>
      <c r="H135" s="3">
        <f t="shared" si="3"/>
        <v>440000.00000000268</v>
      </c>
    </row>
    <row r="136" spans="1:8" x14ac:dyDescent="0.25">
      <c r="A136" t="str">
        <f t="shared" si="0"/>
        <v/>
      </c>
      <c r="D136" s="3">
        <f>G135*Sheet1!$C$5/12</f>
        <v>-3.9917722460813814E-11</v>
      </c>
      <c r="E136" s="3">
        <f>IF(G135&lt;0.01,0,Sheet1!$C$6-D136)</f>
        <v>0</v>
      </c>
      <c r="F136" s="3">
        <f t="shared" si="1"/>
        <v>533725.41056715336</v>
      </c>
      <c r="G136" s="3">
        <f t="shared" si="2"/>
        <v>-2.661181497387588E-9</v>
      </c>
      <c r="H136" s="3">
        <f t="shared" si="3"/>
        <v>440000.00000000268</v>
      </c>
    </row>
    <row r="137" spans="1:8" x14ac:dyDescent="0.25">
      <c r="A137" t="str">
        <f t="shared" si="0"/>
        <v/>
      </c>
      <c r="D137" s="3">
        <f>G136*Sheet1!$C$5/12</f>
        <v>-3.9917722460813814E-11</v>
      </c>
      <c r="E137" s="3">
        <f>IF(G136&lt;0.01,0,Sheet1!$C$6-D137)</f>
        <v>0</v>
      </c>
      <c r="F137" s="3">
        <f t="shared" si="1"/>
        <v>533725.41056715336</v>
      </c>
      <c r="G137" s="3">
        <f t="shared" si="2"/>
        <v>-2.661181497387588E-9</v>
      </c>
      <c r="H137" s="3">
        <f t="shared" si="3"/>
        <v>440000.00000000268</v>
      </c>
    </row>
    <row r="138" spans="1:8" x14ac:dyDescent="0.25">
      <c r="A138" t="str">
        <f t="shared" si="0"/>
        <v/>
      </c>
      <c r="D138" s="3">
        <f>G137*Sheet1!$C$5/12</f>
        <v>-3.9917722460813814E-11</v>
      </c>
      <c r="E138" s="3">
        <f>IF(G137&lt;0.01,0,Sheet1!$C$6-D138)</f>
        <v>0</v>
      </c>
      <c r="F138" s="3">
        <f t="shared" si="1"/>
        <v>533725.41056715336</v>
      </c>
      <c r="G138" s="3">
        <f t="shared" si="2"/>
        <v>-2.661181497387588E-9</v>
      </c>
      <c r="H138" s="3">
        <f t="shared" si="3"/>
        <v>440000.00000000268</v>
      </c>
    </row>
    <row r="139" spans="1:8" x14ac:dyDescent="0.25">
      <c r="A139" t="str">
        <f t="shared" si="0"/>
        <v/>
      </c>
      <c r="D139" s="3">
        <f>G138*Sheet1!$C$5/12</f>
        <v>-3.9917722460813814E-11</v>
      </c>
      <c r="E139" s="3">
        <f>IF(G138&lt;0.01,0,Sheet1!$C$6-D139)</f>
        <v>0</v>
      </c>
      <c r="F139" s="3">
        <f t="shared" si="1"/>
        <v>533725.41056715336</v>
      </c>
      <c r="G139" s="3">
        <f t="shared" si="2"/>
        <v>-2.661181497387588E-9</v>
      </c>
      <c r="H139" s="3">
        <f t="shared" si="3"/>
        <v>440000.00000000268</v>
      </c>
    </row>
    <row r="140" spans="1:8" x14ac:dyDescent="0.25">
      <c r="A140" t="str">
        <f t="shared" si="0"/>
        <v/>
      </c>
      <c r="D140" s="3">
        <f>G139*Sheet1!$C$5/12</f>
        <v>-3.9917722460813814E-11</v>
      </c>
      <c r="E140" s="3">
        <f>IF(G139&lt;0.01,0,Sheet1!$C$6-D140)</f>
        <v>0</v>
      </c>
      <c r="F140" s="3">
        <f t="shared" si="1"/>
        <v>533725.41056715336</v>
      </c>
      <c r="G140" s="3">
        <f t="shared" si="2"/>
        <v>-2.661181497387588E-9</v>
      </c>
      <c r="H140" s="3">
        <f t="shared" si="3"/>
        <v>440000.00000000268</v>
      </c>
    </row>
    <row r="141" spans="1:8" x14ac:dyDescent="0.25">
      <c r="A141" t="str">
        <f t="shared" si="0"/>
        <v/>
      </c>
      <c r="D141" s="3">
        <f>G140*Sheet1!$C$5/12</f>
        <v>-3.9917722460813814E-11</v>
      </c>
      <c r="E141" s="3">
        <f>IF(G140&lt;0.01,0,Sheet1!$C$6-D141)</f>
        <v>0</v>
      </c>
      <c r="F141" s="3">
        <f t="shared" si="1"/>
        <v>533725.41056715336</v>
      </c>
      <c r="G141" s="3">
        <f t="shared" si="2"/>
        <v>-2.661181497387588E-9</v>
      </c>
      <c r="H141" s="3">
        <f t="shared" si="3"/>
        <v>440000.00000000268</v>
      </c>
    </row>
    <row r="142" spans="1:8" x14ac:dyDescent="0.25">
      <c r="A142" t="str">
        <f t="shared" si="0"/>
        <v/>
      </c>
      <c r="D142" s="3">
        <f>G141*Sheet1!$C$5/12</f>
        <v>-3.9917722460813814E-11</v>
      </c>
      <c r="E142" s="3">
        <f>IF(G141&lt;0.01,0,Sheet1!$C$6-D142)</f>
        <v>0</v>
      </c>
      <c r="F142" s="3">
        <f t="shared" si="1"/>
        <v>533725.41056715336</v>
      </c>
      <c r="G142" s="3">
        <f t="shared" si="2"/>
        <v>-2.661181497387588E-9</v>
      </c>
      <c r="H142" s="3">
        <f t="shared" si="3"/>
        <v>440000.00000000268</v>
      </c>
    </row>
    <row r="143" spans="1:8" x14ac:dyDescent="0.25">
      <c r="A143" t="str">
        <f t="shared" si="0"/>
        <v/>
      </c>
      <c r="D143" s="3">
        <f>G142*Sheet1!$C$5/12</f>
        <v>-3.9917722460813814E-11</v>
      </c>
      <c r="E143" s="3">
        <f>IF(G142&lt;0.01,0,Sheet1!$C$6-D143)</f>
        <v>0</v>
      </c>
      <c r="F143" s="3">
        <f t="shared" si="1"/>
        <v>533725.41056715336</v>
      </c>
      <c r="G143" s="3">
        <f t="shared" si="2"/>
        <v>-2.661181497387588E-9</v>
      </c>
      <c r="H143" s="3">
        <f t="shared" si="3"/>
        <v>440000.00000000268</v>
      </c>
    </row>
    <row r="144" spans="1:8" x14ac:dyDescent="0.25">
      <c r="A144" t="str">
        <f t="shared" si="0"/>
        <v/>
      </c>
      <c r="D144" s="3">
        <f>G143*Sheet1!$C$5/12</f>
        <v>-3.9917722460813814E-11</v>
      </c>
      <c r="E144" s="3">
        <f>IF(G143&lt;0.01,0,Sheet1!$C$6-D144)</f>
        <v>0</v>
      </c>
      <c r="F144" s="3">
        <f t="shared" si="1"/>
        <v>533725.41056715336</v>
      </c>
      <c r="G144" s="3">
        <f t="shared" si="2"/>
        <v>-2.661181497387588E-9</v>
      </c>
      <c r="H144" s="3">
        <f t="shared" si="3"/>
        <v>440000.00000000268</v>
      </c>
    </row>
    <row r="145" spans="1:8" x14ac:dyDescent="0.25">
      <c r="A145" t="str">
        <f t="shared" ref="A145:A208" si="4">IF(ISBLANK(B145),"",CEILING(B145/12,1))</f>
        <v/>
      </c>
      <c r="D145" s="3">
        <f>G144*Sheet1!$C$5/12</f>
        <v>-3.9917722460813814E-11</v>
      </c>
      <c r="E145" s="3">
        <f>IF(G144&lt;0.01,0,Sheet1!$C$6-D145)</f>
        <v>0</v>
      </c>
      <c r="F145" s="3">
        <f t="shared" ref="F145:F208" si="5">F144+D145+E145</f>
        <v>533725.41056715336</v>
      </c>
      <c r="G145" s="3">
        <f t="shared" ref="G145:G208" si="6">G144-E145</f>
        <v>-2.661181497387588E-9</v>
      </c>
      <c r="H145" s="3">
        <f t="shared" ref="H145:H208" si="7">E145+H144</f>
        <v>440000.00000000268</v>
      </c>
    </row>
    <row r="146" spans="1:8" x14ac:dyDescent="0.25">
      <c r="A146" t="str">
        <f t="shared" si="4"/>
        <v/>
      </c>
      <c r="D146" s="3">
        <f>G145*Sheet1!$C$5/12</f>
        <v>-3.9917722460813814E-11</v>
      </c>
      <c r="E146" s="3">
        <f>IF(G145&lt;0.01,0,Sheet1!$C$6-D146)</f>
        <v>0</v>
      </c>
      <c r="F146" s="3">
        <f t="shared" si="5"/>
        <v>533725.41056715336</v>
      </c>
      <c r="G146" s="3">
        <f t="shared" si="6"/>
        <v>-2.661181497387588E-9</v>
      </c>
      <c r="H146" s="3">
        <f t="shared" si="7"/>
        <v>440000.00000000268</v>
      </c>
    </row>
    <row r="147" spans="1:8" x14ac:dyDescent="0.25">
      <c r="A147" t="str">
        <f t="shared" si="4"/>
        <v/>
      </c>
      <c r="D147" s="3">
        <f>G146*Sheet1!$C$5/12</f>
        <v>-3.9917722460813814E-11</v>
      </c>
      <c r="E147" s="3">
        <f>IF(G146&lt;0.01,0,Sheet1!$C$6-D147)</f>
        <v>0</v>
      </c>
      <c r="F147" s="3">
        <f t="shared" si="5"/>
        <v>533725.41056715336</v>
      </c>
      <c r="G147" s="3">
        <f t="shared" si="6"/>
        <v>-2.661181497387588E-9</v>
      </c>
      <c r="H147" s="3">
        <f t="shared" si="7"/>
        <v>440000.00000000268</v>
      </c>
    </row>
    <row r="148" spans="1:8" x14ac:dyDescent="0.25">
      <c r="A148" t="str">
        <f t="shared" si="4"/>
        <v/>
      </c>
      <c r="D148" s="3">
        <f>G147*Sheet1!$C$5/12</f>
        <v>-3.9917722460813814E-11</v>
      </c>
      <c r="E148" s="3">
        <f>IF(G147&lt;0.01,0,Sheet1!$C$6-D148)</f>
        <v>0</v>
      </c>
      <c r="F148" s="3">
        <f t="shared" si="5"/>
        <v>533725.41056715336</v>
      </c>
      <c r="G148" s="3">
        <f t="shared" si="6"/>
        <v>-2.661181497387588E-9</v>
      </c>
      <c r="H148" s="3">
        <f t="shared" si="7"/>
        <v>440000.00000000268</v>
      </c>
    </row>
    <row r="149" spans="1:8" x14ac:dyDescent="0.25">
      <c r="A149" t="str">
        <f t="shared" si="4"/>
        <v/>
      </c>
      <c r="D149" s="3">
        <f>G148*Sheet1!$C$5/12</f>
        <v>-3.9917722460813814E-11</v>
      </c>
      <c r="E149" s="3">
        <f>IF(G148&lt;0.01,0,Sheet1!$C$6-D149)</f>
        <v>0</v>
      </c>
      <c r="F149" s="3">
        <f t="shared" si="5"/>
        <v>533725.41056715336</v>
      </c>
      <c r="G149" s="3">
        <f t="shared" si="6"/>
        <v>-2.661181497387588E-9</v>
      </c>
      <c r="H149" s="3">
        <f t="shared" si="7"/>
        <v>440000.00000000268</v>
      </c>
    </row>
    <row r="150" spans="1:8" x14ac:dyDescent="0.25">
      <c r="A150" t="str">
        <f t="shared" si="4"/>
        <v/>
      </c>
      <c r="D150" s="3">
        <f>G149*Sheet1!$C$5/12</f>
        <v>-3.9917722460813814E-11</v>
      </c>
      <c r="E150" s="3">
        <f>IF(G149&lt;0.01,0,Sheet1!$C$6-D150)</f>
        <v>0</v>
      </c>
      <c r="F150" s="3">
        <f t="shared" si="5"/>
        <v>533725.41056715336</v>
      </c>
      <c r="G150" s="3">
        <f t="shared" si="6"/>
        <v>-2.661181497387588E-9</v>
      </c>
      <c r="H150" s="3">
        <f t="shared" si="7"/>
        <v>440000.00000000268</v>
      </c>
    </row>
    <row r="151" spans="1:8" x14ac:dyDescent="0.25">
      <c r="A151" t="str">
        <f t="shared" si="4"/>
        <v/>
      </c>
      <c r="D151" s="3">
        <f>G150*Sheet1!$C$5/12</f>
        <v>-3.9917722460813814E-11</v>
      </c>
      <c r="E151" s="3">
        <f>IF(G150&lt;0.01,0,Sheet1!$C$6-D151)</f>
        <v>0</v>
      </c>
      <c r="F151" s="3">
        <f t="shared" si="5"/>
        <v>533725.41056715336</v>
      </c>
      <c r="G151" s="3">
        <f t="shared" si="6"/>
        <v>-2.661181497387588E-9</v>
      </c>
      <c r="H151" s="3">
        <f t="shared" si="7"/>
        <v>440000.00000000268</v>
      </c>
    </row>
    <row r="152" spans="1:8" x14ac:dyDescent="0.25">
      <c r="A152" t="str">
        <f t="shared" si="4"/>
        <v/>
      </c>
      <c r="D152" s="3">
        <f>G151*Sheet1!$C$5/12</f>
        <v>-3.9917722460813814E-11</v>
      </c>
      <c r="E152" s="3">
        <f>IF(G151&lt;0.01,0,Sheet1!$C$6-D152)</f>
        <v>0</v>
      </c>
      <c r="F152" s="3">
        <f t="shared" si="5"/>
        <v>533725.41056715336</v>
      </c>
      <c r="G152" s="3">
        <f t="shared" si="6"/>
        <v>-2.661181497387588E-9</v>
      </c>
      <c r="H152" s="3">
        <f t="shared" si="7"/>
        <v>440000.00000000268</v>
      </c>
    </row>
    <row r="153" spans="1:8" x14ac:dyDescent="0.25">
      <c r="A153" t="str">
        <f t="shared" si="4"/>
        <v/>
      </c>
      <c r="D153" s="3">
        <f>G152*Sheet1!$C$5/12</f>
        <v>-3.9917722460813814E-11</v>
      </c>
      <c r="E153" s="3">
        <f>IF(G152&lt;0.01,0,Sheet1!$C$6-D153)</f>
        <v>0</v>
      </c>
      <c r="F153" s="3">
        <f t="shared" si="5"/>
        <v>533725.41056715336</v>
      </c>
      <c r="G153" s="3">
        <f t="shared" si="6"/>
        <v>-2.661181497387588E-9</v>
      </c>
      <c r="H153" s="3">
        <f t="shared" si="7"/>
        <v>440000.00000000268</v>
      </c>
    </row>
    <row r="154" spans="1:8" x14ac:dyDescent="0.25">
      <c r="A154" t="str">
        <f t="shared" si="4"/>
        <v/>
      </c>
      <c r="D154" s="3">
        <f>G153*Sheet1!$C$5/12</f>
        <v>-3.9917722460813814E-11</v>
      </c>
      <c r="E154" s="3">
        <f>IF(G153&lt;0.01,0,Sheet1!$C$6-D154)</f>
        <v>0</v>
      </c>
      <c r="F154" s="3">
        <f t="shared" si="5"/>
        <v>533725.41056715336</v>
      </c>
      <c r="G154" s="3">
        <f t="shared" si="6"/>
        <v>-2.661181497387588E-9</v>
      </c>
      <c r="H154" s="3">
        <f t="shared" si="7"/>
        <v>440000.00000000268</v>
      </c>
    </row>
    <row r="155" spans="1:8" x14ac:dyDescent="0.25">
      <c r="A155" t="str">
        <f t="shared" si="4"/>
        <v/>
      </c>
      <c r="D155" s="3">
        <f>G154*Sheet1!$C$5/12</f>
        <v>-3.9917722460813814E-11</v>
      </c>
      <c r="E155" s="3">
        <f>IF(G154&lt;0.01,0,Sheet1!$C$6-D155)</f>
        <v>0</v>
      </c>
      <c r="F155" s="3">
        <f t="shared" si="5"/>
        <v>533725.41056715336</v>
      </c>
      <c r="G155" s="3">
        <f t="shared" si="6"/>
        <v>-2.661181497387588E-9</v>
      </c>
      <c r="H155" s="3">
        <f t="shared" si="7"/>
        <v>440000.00000000268</v>
      </c>
    </row>
    <row r="156" spans="1:8" x14ac:dyDescent="0.25">
      <c r="A156" t="str">
        <f t="shared" si="4"/>
        <v/>
      </c>
      <c r="D156" s="3">
        <f>G155*Sheet1!$C$5/12</f>
        <v>-3.9917722460813814E-11</v>
      </c>
      <c r="E156" s="3">
        <f>IF(G155&lt;0.01,0,Sheet1!$C$6-D156)</f>
        <v>0</v>
      </c>
      <c r="F156" s="3">
        <f t="shared" si="5"/>
        <v>533725.41056715336</v>
      </c>
      <c r="G156" s="3">
        <f t="shared" si="6"/>
        <v>-2.661181497387588E-9</v>
      </c>
      <c r="H156" s="3">
        <f t="shared" si="7"/>
        <v>440000.00000000268</v>
      </c>
    </row>
    <row r="157" spans="1:8" x14ac:dyDescent="0.25">
      <c r="A157" t="str">
        <f t="shared" si="4"/>
        <v/>
      </c>
      <c r="D157" s="3">
        <f>G156*Sheet1!$C$5/12</f>
        <v>-3.9917722460813814E-11</v>
      </c>
      <c r="E157" s="3">
        <f>IF(G156&lt;0.01,0,Sheet1!$C$6-D157)</f>
        <v>0</v>
      </c>
      <c r="F157" s="3">
        <f t="shared" si="5"/>
        <v>533725.41056715336</v>
      </c>
      <c r="G157" s="3">
        <f t="shared" si="6"/>
        <v>-2.661181497387588E-9</v>
      </c>
      <c r="H157" s="3">
        <f t="shared" si="7"/>
        <v>440000.00000000268</v>
      </c>
    </row>
    <row r="158" spans="1:8" x14ac:dyDescent="0.25">
      <c r="A158" t="str">
        <f t="shared" si="4"/>
        <v/>
      </c>
      <c r="D158" s="3">
        <f>G157*Sheet1!$C$5/12</f>
        <v>-3.9917722460813814E-11</v>
      </c>
      <c r="E158" s="3">
        <f>IF(G157&lt;0.01,0,Sheet1!$C$6-D158)</f>
        <v>0</v>
      </c>
      <c r="F158" s="3">
        <f t="shared" si="5"/>
        <v>533725.41056715336</v>
      </c>
      <c r="G158" s="3">
        <f t="shared" si="6"/>
        <v>-2.661181497387588E-9</v>
      </c>
      <c r="H158" s="3">
        <f t="shared" si="7"/>
        <v>440000.00000000268</v>
      </c>
    </row>
    <row r="159" spans="1:8" x14ac:dyDescent="0.25">
      <c r="A159" t="str">
        <f t="shared" si="4"/>
        <v/>
      </c>
      <c r="D159" s="3">
        <f>G158*Sheet1!$C$5/12</f>
        <v>-3.9917722460813814E-11</v>
      </c>
      <c r="E159" s="3">
        <f>IF(G158&lt;0.01,0,Sheet1!$C$6-D159)</f>
        <v>0</v>
      </c>
      <c r="F159" s="3">
        <f t="shared" si="5"/>
        <v>533725.41056715336</v>
      </c>
      <c r="G159" s="3">
        <f t="shared" si="6"/>
        <v>-2.661181497387588E-9</v>
      </c>
      <c r="H159" s="3">
        <f t="shared" si="7"/>
        <v>440000.00000000268</v>
      </c>
    </row>
    <row r="160" spans="1:8" x14ac:dyDescent="0.25">
      <c r="A160" t="str">
        <f t="shared" si="4"/>
        <v/>
      </c>
      <c r="D160" s="3">
        <f>G159*Sheet1!$C$5/12</f>
        <v>-3.9917722460813814E-11</v>
      </c>
      <c r="E160" s="3">
        <f>IF(G159&lt;0.01,0,Sheet1!$C$6-D160)</f>
        <v>0</v>
      </c>
      <c r="F160" s="3">
        <f t="shared" si="5"/>
        <v>533725.41056715336</v>
      </c>
      <c r="G160" s="3">
        <f t="shared" si="6"/>
        <v>-2.661181497387588E-9</v>
      </c>
      <c r="H160" s="3">
        <f t="shared" si="7"/>
        <v>440000.00000000268</v>
      </c>
    </row>
    <row r="161" spans="1:8" x14ac:dyDescent="0.25">
      <c r="A161" t="str">
        <f t="shared" si="4"/>
        <v/>
      </c>
      <c r="D161" s="3">
        <f>G160*Sheet1!$C$5/12</f>
        <v>-3.9917722460813814E-11</v>
      </c>
      <c r="E161" s="3">
        <f>IF(G160&lt;0.01,0,Sheet1!$C$6-D161)</f>
        <v>0</v>
      </c>
      <c r="F161" s="3">
        <f t="shared" si="5"/>
        <v>533725.41056715336</v>
      </c>
      <c r="G161" s="3">
        <f t="shared" si="6"/>
        <v>-2.661181497387588E-9</v>
      </c>
      <c r="H161" s="3">
        <f t="shared" si="7"/>
        <v>440000.00000000268</v>
      </c>
    </row>
    <row r="162" spans="1:8" x14ac:dyDescent="0.25">
      <c r="A162" t="str">
        <f t="shared" si="4"/>
        <v/>
      </c>
      <c r="D162" s="3">
        <f>G161*Sheet1!$C$5/12</f>
        <v>-3.9917722460813814E-11</v>
      </c>
      <c r="E162" s="3">
        <f>IF(G161&lt;0.01,0,Sheet1!$C$6-D162)</f>
        <v>0</v>
      </c>
      <c r="F162" s="3">
        <f t="shared" si="5"/>
        <v>533725.41056715336</v>
      </c>
      <c r="G162" s="3">
        <f t="shared" si="6"/>
        <v>-2.661181497387588E-9</v>
      </c>
      <c r="H162" s="3">
        <f t="shared" si="7"/>
        <v>440000.00000000268</v>
      </c>
    </row>
    <row r="163" spans="1:8" x14ac:dyDescent="0.25">
      <c r="A163" t="str">
        <f t="shared" si="4"/>
        <v/>
      </c>
      <c r="D163" s="3">
        <f>G162*Sheet1!$C$5/12</f>
        <v>-3.9917722460813814E-11</v>
      </c>
      <c r="E163" s="3">
        <f>IF(G162&lt;0.01,0,Sheet1!$C$6-D163)</f>
        <v>0</v>
      </c>
      <c r="F163" s="3">
        <f t="shared" si="5"/>
        <v>533725.41056715336</v>
      </c>
      <c r="G163" s="3">
        <f t="shared" si="6"/>
        <v>-2.661181497387588E-9</v>
      </c>
      <c r="H163" s="3">
        <f t="shared" si="7"/>
        <v>440000.00000000268</v>
      </c>
    </row>
    <row r="164" spans="1:8" x14ac:dyDescent="0.25">
      <c r="A164" t="str">
        <f t="shared" si="4"/>
        <v/>
      </c>
      <c r="D164" s="3">
        <f>G163*Sheet1!$C$5/12</f>
        <v>-3.9917722460813814E-11</v>
      </c>
      <c r="E164" s="3">
        <f>IF(G163&lt;0.01,0,Sheet1!$C$6-D164)</f>
        <v>0</v>
      </c>
      <c r="F164" s="3">
        <f t="shared" si="5"/>
        <v>533725.41056715336</v>
      </c>
      <c r="G164" s="3">
        <f t="shared" si="6"/>
        <v>-2.661181497387588E-9</v>
      </c>
      <c r="H164" s="3">
        <f t="shared" si="7"/>
        <v>440000.00000000268</v>
      </c>
    </row>
    <row r="165" spans="1:8" x14ac:dyDescent="0.25">
      <c r="A165" t="str">
        <f t="shared" si="4"/>
        <v/>
      </c>
      <c r="D165" s="3">
        <f>G164*Sheet1!$C$5/12</f>
        <v>-3.9917722460813814E-11</v>
      </c>
      <c r="E165" s="3">
        <f>IF(G164&lt;0.01,0,Sheet1!$C$6-D165)</f>
        <v>0</v>
      </c>
      <c r="F165" s="3">
        <f t="shared" si="5"/>
        <v>533725.41056715336</v>
      </c>
      <c r="G165" s="3">
        <f t="shared" si="6"/>
        <v>-2.661181497387588E-9</v>
      </c>
      <c r="H165" s="3">
        <f t="shared" si="7"/>
        <v>440000.00000000268</v>
      </c>
    </row>
    <row r="166" spans="1:8" x14ac:dyDescent="0.25">
      <c r="A166" t="str">
        <f t="shared" si="4"/>
        <v/>
      </c>
      <c r="D166" s="3">
        <f>G165*Sheet1!$C$5/12</f>
        <v>-3.9917722460813814E-11</v>
      </c>
      <c r="E166" s="3">
        <f>IF(G165&lt;0.01,0,Sheet1!$C$6-D166)</f>
        <v>0</v>
      </c>
      <c r="F166" s="3">
        <f t="shared" si="5"/>
        <v>533725.41056715336</v>
      </c>
      <c r="G166" s="3">
        <f t="shared" si="6"/>
        <v>-2.661181497387588E-9</v>
      </c>
      <c r="H166" s="3">
        <f t="shared" si="7"/>
        <v>440000.00000000268</v>
      </c>
    </row>
    <row r="167" spans="1:8" x14ac:dyDescent="0.25">
      <c r="A167" t="str">
        <f t="shared" si="4"/>
        <v/>
      </c>
      <c r="D167" s="3">
        <f>G166*Sheet1!$C$5/12</f>
        <v>-3.9917722460813814E-11</v>
      </c>
      <c r="E167" s="3">
        <f>IF(G166&lt;0.01,0,Sheet1!$C$6-D167)</f>
        <v>0</v>
      </c>
      <c r="F167" s="3">
        <f t="shared" si="5"/>
        <v>533725.41056715336</v>
      </c>
      <c r="G167" s="3">
        <f t="shared" si="6"/>
        <v>-2.661181497387588E-9</v>
      </c>
      <c r="H167" s="3">
        <f t="shared" si="7"/>
        <v>440000.00000000268</v>
      </c>
    </row>
    <row r="168" spans="1:8" x14ac:dyDescent="0.25">
      <c r="A168" t="str">
        <f t="shared" si="4"/>
        <v/>
      </c>
      <c r="D168" s="3">
        <f>G167*Sheet1!$C$5/12</f>
        <v>-3.9917722460813814E-11</v>
      </c>
      <c r="E168" s="3">
        <f>IF(G167&lt;0.01,0,Sheet1!$C$6-D168)</f>
        <v>0</v>
      </c>
      <c r="F168" s="3">
        <f t="shared" si="5"/>
        <v>533725.41056715336</v>
      </c>
      <c r="G168" s="3">
        <f t="shared" si="6"/>
        <v>-2.661181497387588E-9</v>
      </c>
      <c r="H168" s="3">
        <f t="shared" si="7"/>
        <v>440000.00000000268</v>
      </c>
    </row>
    <row r="169" spans="1:8" x14ac:dyDescent="0.25">
      <c r="A169" t="str">
        <f t="shared" si="4"/>
        <v/>
      </c>
      <c r="D169" s="3">
        <f>G168*Sheet1!$C$5/12</f>
        <v>-3.9917722460813814E-11</v>
      </c>
      <c r="E169" s="3">
        <f>IF(G168&lt;0.01,0,Sheet1!$C$6-D169)</f>
        <v>0</v>
      </c>
      <c r="F169" s="3">
        <f t="shared" si="5"/>
        <v>533725.41056715336</v>
      </c>
      <c r="G169" s="3">
        <f t="shared" si="6"/>
        <v>-2.661181497387588E-9</v>
      </c>
      <c r="H169" s="3">
        <f t="shared" si="7"/>
        <v>440000.00000000268</v>
      </c>
    </row>
    <row r="170" spans="1:8" x14ac:dyDescent="0.25">
      <c r="A170" t="str">
        <f t="shared" si="4"/>
        <v/>
      </c>
      <c r="D170" s="3">
        <f>G169*Sheet1!$C$5/12</f>
        <v>-3.9917722460813814E-11</v>
      </c>
      <c r="E170" s="3">
        <f>IF(G169&lt;0.01,0,Sheet1!$C$6-D170)</f>
        <v>0</v>
      </c>
      <c r="F170" s="3">
        <f t="shared" si="5"/>
        <v>533725.41056715336</v>
      </c>
      <c r="G170" s="3">
        <f t="shared" si="6"/>
        <v>-2.661181497387588E-9</v>
      </c>
      <c r="H170" s="3">
        <f t="shared" si="7"/>
        <v>440000.00000000268</v>
      </c>
    </row>
    <row r="171" spans="1:8" x14ac:dyDescent="0.25">
      <c r="A171" t="str">
        <f t="shared" si="4"/>
        <v/>
      </c>
      <c r="D171" s="3">
        <f>G170*Sheet1!$C$5/12</f>
        <v>-3.9917722460813814E-11</v>
      </c>
      <c r="E171" s="3">
        <f>IF(G170&lt;0.01,0,Sheet1!$C$6-D171)</f>
        <v>0</v>
      </c>
      <c r="F171" s="3">
        <f t="shared" si="5"/>
        <v>533725.41056715336</v>
      </c>
      <c r="G171" s="3">
        <f t="shared" si="6"/>
        <v>-2.661181497387588E-9</v>
      </c>
      <c r="H171" s="3">
        <f t="shared" si="7"/>
        <v>440000.00000000268</v>
      </c>
    </row>
    <row r="172" spans="1:8" x14ac:dyDescent="0.25">
      <c r="A172" t="str">
        <f t="shared" si="4"/>
        <v/>
      </c>
      <c r="D172" s="3">
        <f>G171*Sheet1!$C$5/12</f>
        <v>-3.9917722460813814E-11</v>
      </c>
      <c r="E172" s="3">
        <f>IF(G171&lt;0.01,0,Sheet1!$C$6-D172)</f>
        <v>0</v>
      </c>
      <c r="F172" s="3">
        <f t="shared" si="5"/>
        <v>533725.41056715336</v>
      </c>
      <c r="G172" s="3">
        <f t="shared" si="6"/>
        <v>-2.661181497387588E-9</v>
      </c>
      <c r="H172" s="3">
        <f t="shared" si="7"/>
        <v>440000.00000000268</v>
      </c>
    </row>
    <row r="173" spans="1:8" x14ac:dyDescent="0.25">
      <c r="A173" t="str">
        <f t="shared" si="4"/>
        <v/>
      </c>
      <c r="D173" s="3">
        <f>G172*Sheet1!$C$5/12</f>
        <v>-3.9917722460813814E-11</v>
      </c>
      <c r="E173" s="3">
        <f>IF(G172&lt;0.01,0,Sheet1!$C$6-D173)</f>
        <v>0</v>
      </c>
      <c r="F173" s="3">
        <f t="shared" si="5"/>
        <v>533725.41056715336</v>
      </c>
      <c r="G173" s="3">
        <f t="shared" si="6"/>
        <v>-2.661181497387588E-9</v>
      </c>
      <c r="H173" s="3">
        <f t="shared" si="7"/>
        <v>440000.00000000268</v>
      </c>
    </row>
    <row r="174" spans="1:8" x14ac:dyDescent="0.25">
      <c r="A174" t="str">
        <f t="shared" si="4"/>
        <v/>
      </c>
      <c r="D174" s="3">
        <f>G173*Sheet1!$C$5/12</f>
        <v>-3.9917722460813814E-11</v>
      </c>
      <c r="E174" s="3">
        <f>IF(G173&lt;0.01,0,Sheet1!$C$6-D174)</f>
        <v>0</v>
      </c>
      <c r="F174" s="3">
        <f t="shared" si="5"/>
        <v>533725.41056715336</v>
      </c>
      <c r="G174" s="3">
        <f t="shared" si="6"/>
        <v>-2.661181497387588E-9</v>
      </c>
      <c r="H174" s="3">
        <f t="shared" si="7"/>
        <v>440000.00000000268</v>
      </c>
    </row>
    <row r="175" spans="1:8" x14ac:dyDescent="0.25">
      <c r="A175" t="str">
        <f t="shared" si="4"/>
        <v/>
      </c>
      <c r="D175" s="3">
        <f>G174*Sheet1!$C$5/12</f>
        <v>-3.9917722460813814E-11</v>
      </c>
      <c r="E175" s="3">
        <f>IF(G174&lt;0.01,0,Sheet1!$C$6-D175)</f>
        <v>0</v>
      </c>
      <c r="F175" s="3">
        <f t="shared" si="5"/>
        <v>533725.41056715336</v>
      </c>
      <c r="G175" s="3">
        <f t="shared" si="6"/>
        <v>-2.661181497387588E-9</v>
      </c>
      <c r="H175" s="3">
        <f t="shared" si="7"/>
        <v>440000.00000000268</v>
      </c>
    </row>
    <row r="176" spans="1:8" x14ac:dyDescent="0.25">
      <c r="A176" t="str">
        <f t="shared" si="4"/>
        <v/>
      </c>
      <c r="D176" s="3">
        <f>G175*Sheet1!$C$5/12</f>
        <v>-3.9917722460813814E-11</v>
      </c>
      <c r="E176" s="3">
        <f>IF(G175&lt;0.01,0,Sheet1!$C$6-D176)</f>
        <v>0</v>
      </c>
      <c r="F176" s="3">
        <f t="shared" si="5"/>
        <v>533725.41056715336</v>
      </c>
      <c r="G176" s="3">
        <f t="shared" si="6"/>
        <v>-2.661181497387588E-9</v>
      </c>
      <c r="H176" s="3">
        <f t="shared" si="7"/>
        <v>440000.00000000268</v>
      </c>
    </row>
    <row r="177" spans="1:8" x14ac:dyDescent="0.25">
      <c r="A177" t="str">
        <f t="shared" si="4"/>
        <v/>
      </c>
      <c r="D177" s="3">
        <f>G176*Sheet1!$C$5/12</f>
        <v>-3.9917722460813814E-11</v>
      </c>
      <c r="E177" s="3">
        <f>IF(G176&lt;0.01,0,Sheet1!$C$6-D177)</f>
        <v>0</v>
      </c>
      <c r="F177" s="3">
        <f t="shared" si="5"/>
        <v>533725.41056715336</v>
      </c>
      <c r="G177" s="3">
        <f t="shared" si="6"/>
        <v>-2.661181497387588E-9</v>
      </c>
      <c r="H177" s="3">
        <f t="shared" si="7"/>
        <v>440000.00000000268</v>
      </c>
    </row>
    <row r="178" spans="1:8" x14ac:dyDescent="0.25">
      <c r="A178" t="str">
        <f t="shared" si="4"/>
        <v/>
      </c>
      <c r="D178" s="3">
        <f>G177*Sheet1!$C$5/12</f>
        <v>-3.9917722460813814E-11</v>
      </c>
      <c r="E178" s="3">
        <f>IF(G177&lt;0.01,0,Sheet1!$C$6-D178)</f>
        <v>0</v>
      </c>
      <c r="F178" s="3">
        <f t="shared" si="5"/>
        <v>533725.41056715336</v>
      </c>
      <c r="G178" s="3">
        <f t="shared" si="6"/>
        <v>-2.661181497387588E-9</v>
      </c>
      <c r="H178" s="3">
        <f t="shared" si="7"/>
        <v>440000.00000000268</v>
      </c>
    </row>
    <row r="179" spans="1:8" x14ac:dyDescent="0.25">
      <c r="A179" t="str">
        <f t="shared" si="4"/>
        <v/>
      </c>
      <c r="D179" s="3">
        <f>G178*Sheet1!$C$5/12</f>
        <v>-3.9917722460813814E-11</v>
      </c>
      <c r="E179" s="3">
        <f>IF(G178&lt;0.01,0,Sheet1!$C$6-D179)</f>
        <v>0</v>
      </c>
      <c r="F179" s="3">
        <f t="shared" si="5"/>
        <v>533725.41056715336</v>
      </c>
      <c r="G179" s="3">
        <f t="shared" si="6"/>
        <v>-2.661181497387588E-9</v>
      </c>
      <c r="H179" s="3">
        <f t="shared" si="7"/>
        <v>440000.00000000268</v>
      </c>
    </row>
    <row r="180" spans="1:8" x14ac:dyDescent="0.25">
      <c r="A180" t="str">
        <f t="shared" si="4"/>
        <v/>
      </c>
      <c r="D180" s="3">
        <f>G179*Sheet1!$C$5/12</f>
        <v>-3.9917722460813814E-11</v>
      </c>
      <c r="E180" s="3">
        <f>IF(G179&lt;0.01,0,Sheet1!$C$6-D180)</f>
        <v>0</v>
      </c>
      <c r="F180" s="3">
        <f t="shared" si="5"/>
        <v>533725.41056715336</v>
      </c>
      <c r="G180" s="3">
        <f t="shared" si="6"/>
        <v>-2.661181497387588E-9</v>
      </c>
      <c r="H180" s="3">
        <f t="shared" si="7"/>
        <v>440000.00000000268</v>
      </c>
    </row>
    <row r="181" spans="1:8" x14ac:dyDescent="0.25">
      <c r="A181" t="str">
        <f t="shared" si="4"/>
        <v/>
      </c>
      <c r="D181" s="3">
        <f>G180*Sheet1!$C$5/12</f>
        <v>-3.9917722460813814E-11</v>
      </c>
      <c r="E181" s="3">
        <f>IF(G180&lt;0.01,0,Sheet1!$C$6-D181)</f>
        <v>0</v>
      </c>
      <c r="F181" s="3">
        <f t="shared" si="5"/>
        <v>533725.41056715336</v>
      </c>
      <c r="G181" s="3">
        <f t="shared" si="6"/>
        <v>-2.661181497387588E-9</v>
      </c>
      <c r="H181" s="3">
        <f t="shared" si="7"/>
        <v>440000.00000000268</v>
      </c>
    </row>
    <row r="182" spans="1:8" x14ac:dyDescent="0.25">
      <c r="A182" t="str">
        <f t="shared" si="4"/>
        <v/>
      </c>
      <c r="D182" s="3">
        <f>G181*Sheet1!$C$5/12</f>
        <v>-3.9917722460813814E-11</v>
      </c>
      <c r="E182" s="3">
        <f>IF(G181&lt;0.01,0,Sheet1!$C$6-D182)</f>
        <v>0</v>
      </c>
      <c r="F182" s="3">
        <f t="shared" si="5"/>
        <v>533725.41056715336</v>
      </c>
      <c r="G182" s="3">
        <f t="shared" si="6"/>
        <v>-2.661181497387588E-9</v>
      </c>
      <c r="H182" s="3">
        <f t="shared" si="7"/>
        <v>440000.00000000268</v>
      </c>
    </row>
    <row r="183" spans="1:8" x14ac:dyDescent="0.25">
      <c r="A183" t="str">
        <f t="shared" si="4"/>
        <v/>
      </c>
      <c r="D183" s="3">
        <f>G182*Sheet1!$C$5/12</f>
        <v>-3.9917722460813814E-11</v>
      </c>
      <c r="E183" s="3">
        <f>IF(G182&lt;0.01,0,Sheet1!$C$6-D183)</f>
        <v>0</v>
      </c>
      <c r="F183" s="3">
        <f t="shared" si="5"/>
        <v>533725.41056715336</v>
      </c>
      <c r="G183" s="3">
        <f t="shared" si="6"/>
        <v>-2.661181497387588E-9</v>
      </c>
      <c r="H183" s="3">
        <f t="shared" si="7"/>
        <v>440000.00000000268</v>
      </c>
    </row>
    <row r="184" spans="1:8" x14ac:dyDescent="0.25">
      <c r="A184" t="str">
        <f t="shared" si="4"/>
        <v/>
      </c>
      <c r="D184" s="3">
        <f>G183*Sheet1!$C$5/12</f>
        <v>-3.9917722460813814E-11</v>
      </c>
      <c r="E184" s="3">
        <f>IF(G183&lt;0.01,0,Sheet1!$C$6-D184)</f>
        <v>0</v>
      </c>
      <c r="F184" s="3">
        <f t="shared" si="5"/>
        <v>533725.41056715336</v>
      </c>
      <c r="G184" s="3">
        <f t="shared" si="6"/>
        <v>-2.661181497387588E-9</v>
      </c>
      <c r="H184" s="3">
        <f t="shared" si="7"/>
        <v>440000.00000000268</v>
      </c>
    </row>
    <row r="185" spans="1:8" x14ac:dyDescent="0.25">
      <c r="A185" t="str">
        <f t="shared" si="4"/>
        <v/>
      </c>
      <c r="D185" s="3">
        <f>G184*Sheet1!$C$5/12</f>
        <v>-3.9917722460813814E-11</v>
      </c>
      <c r="E185" s="3">
        <f>IF(G184&lt;0.01,0,Sheet1!$C$6-D185)</f>
        <v>0</v>
      </c>
      <c r="F185" s="3">
        <f t="shared" si="5"/>
        <v>533725.41056715336</v>
      </c>
      <c r="G185" s="3">
        <f t="shared" si="6"/>
        <v>-2.661181497387588E-9</v>
      </c>
      <c r="H185" s="3">
        <f t="shared" si="7"/>
        <v>440000.00000000268</v>
      </c>
    </row>
    <row r="186" spans="1:8" x14ac:dyDescent="0.25">
      <c r="A186" t="str">
        <f t="shared" si="4"/>
        <v/>
      </c>
      <c r="D186" s="3">
        <f>G185*Sheet1!$C$5/12</f>
        <v>-3.9917722460813814E-11</v>
      </c>
      <c r="E186" s="3">
        <f>IF(G185&lt;0.01,0,Sheet1!$C$6-D186)</f>
        <v>0</v>
      </c>
      <c r="F186" s="3">
        <f t="shared" si="5"/>
        <v>533725.41056715336</v>
      </c>
      <c r="G186" s="3">
        <f t="shared" si="6"/>
        <v>-2.661181497387588E-9</v>
      </c>
      <c r="H186" s="3">
        <f t="shared" si="7"/>
        <v>440000.00000000268</v>
      </c>
    </row>
    <row r="187" spans="1:8" x14ac:dyDescent="0.25">
      <c r="A187" t="str">
        <f t="shared" si="4"/>
        <v/>
      </c>
      <c r="D187" s="3">
        <f>G186*Sheet1!$C$5/12</f>
        <v>-3.9917722460813814E-11</v>
      </c>
      <c r="E187" s="3">
        <f>IF(G186&lt;0.01,0,Sheet1!$C$6-D187)</f>
        <v>0</v>
      </c>
      <c r="F187" s="3">
        <f t="shared" si="5"/>
        <v>533725.41056715336</v>
      </c>
      <c r="G187" s="3">
        <f t="shared" si="6"/>
        <v>-2.661181497387588E-9</v>
      </c>
      <c r="H187" s="3">
        <f t="shared" si="7"/>
        <v>440000.00000000268</v>
      </c>
    </row>
    <row r="188" spans="1:8" x14ac:dyDescent="0.25">
      <c r="A188" t="str">
        <f t="shared" si="4"/>
        <v/>
      </c>
      <c r="D188" s="3">
        <f>G187*Sheet1!$C$5/12</f>
        <v>-3.9917722460813814E-11</v>
      </c>
      <c r="E188" s="3">
        <f>IF(G187&lt;0.01,0,Sheet1!$C$6-D188)</f>
        <v>0</v>
      </c>
      <c r="F188" s="3">
        <f t="shared" si="5"/>
        <v>533725.41056715336</v>
      </c>
      <c r="G188" s="3">
        <f t="shared" si="6"/>
        <v>-2.661181497387588E-9</v>
      </c>
      <c r="H188" s="3">
        <f t="shared" si="7"/>
        <v>440000.00000000268</v>
      </c>
    </row>
    <row r="189" spans="1:8" x14ac:dyDescent="0.25">
      <c r="A189" t="str">
        <f t="shared" si="4"/>
        <v/>
      </c>
      <c r="D189" s="3">
        <f>G188*Sheet1!$C$5/12</f>
        <v>-3.9917722460813814E-11</v>
      </c>
      <c r="E189" s="3">
        <f>IF(G188&lt;0.01,0,Sheet1!$C$6-D189)</f>
        <v>0</v>
      </c>
      <c r="F189" s="3">
        <f t="shared" si="5"/>
        <v>533725.41056715336</v>
      </c>
      <c r="G189" s="3">
        <f t="shared" si="6"/>
        <v>-2.661181497387588E-9</v>
      </c>
      <c r="H189" s="3">
        <f t="shared" si="7"/>
        <v>440000.00000000268</v>
      </c>
    </row>
    <row r="190" spans="1:8" x14ac:dyDescent="0.25">
      <c r="A190" t="str">
        <f t="shared" si="4"/>
        <v/>
      </c>
      <c r="D190" s="3">
        <f>G189*Sheet1!$C$5/12</f>
        <v>-3.9917722460813814E-11</v>
      </c>
      <c r="E190" s="3">
        <f>IF(G189&lt;0.01,0,Sheet1!$C$6-D190)</f>
        <v>0</v>
      </c>
      <c r="F190" s="3">
        <f t="shared" si="5"/>
        <v>533725.41056715336</v>
      </c>
      <c r="G190" s="3">
        <f t="shared" si="6"/>
        <v>-2.661181497387588E-9</v>
      </c>
      <c r="H190" s="3">
        <f t="shared" si="7"/>
        <v>440000.00000000268</v>
      </c>
    </row>
    <row r="191" spans="1:8" x14ac:dyDescent="0.25">
      <c r="A191" t="str">
        <f t="shared" si="4"/>
        <v/>
      </c>
      <c r="D191" s="3">
        <f>G190*Sheet1!$C$5/12</f>
        <v>-3.9917722460813814E-11</v>
      </c>
      <c r="E191" s="3">
        <f>IF(G190&lt;0.01,0,Sheet1!$C$6-D191)</f>
        <v>0</v>
      </c>
      <c r="F191" s="3">
        <f t="shared" si="5"/>
        <v>533725.41056715336</v>
      </c>
      <c r="G191" s="3">
        <f t="shared" si="6"/>
        <v>-2.661181497387588E-9</v>
      </c>
      <c r="H191" s="3">
        <f t="shared" si="7"/>
        <v>440000.00000000268</v>
      </c>
    </row>
    <row r="192" spans="1:8" x14ac:dyDescent="0.25">
      <c r="A192" t="str">
        <f t="shared" si="4"/>
        <v/>
      </c>
      <c r="D192" s="3">
        <f>G191*Sheet1!$C$5/12</f>
        <v>-3.9917722460813814E-11</v>
      </c>
      <c r="E192" s="3">
        <f>IF(G191&lt;0.01,0,Sheet1!$C$6-D192)</f>
        <v>0</v>
      </c>
      <c r="F192" s="3">
        <f t="shared" si="5"/>
        <v>533725.41056715336</v>
      </c>
      <c r="G192" s="3">
        <f t="shared" si="6"/>
        <v>-2.661181497387588E-9</v>
      </c>
      <c r="H192" s="3">
        <f t="shared" si="7"/>
        <v>440000.00000000268</v>
      </c>
    </row>
    <row r="193" spans="1:8" x14ac:dyDescent="0.25">
      <c r="A193" t="str">
        <f t="shared" si="4"/>
        <v/>
      </c>
      <c r="D193" s="3">
        <f>G192*Sheet1!$C$5/12</f>
        <v>-3.9917722460813814E-11</v>
      </c>
      <c r="E193" s="3">
        <f>IF(G192&lt;0.01,0,Sheet1!$C$6-D193)</f>
        <v>0</v>
      </c>
      <c r="F193" s="3">
        <f t="shared" si="5"/>
        <v>533725.41056715336</v>
      </c>
      <c r="G193" s="3">
        <f t="shared" si="6"/>
        <v>-2.661181497387588E-9</v>
      </c>
      <c r="H193" s="3">
        <f t="shared" si="7"/>
        <v>440000.00000000268</v>
      </c>
    </row>
    <row r="194" spans="1:8" x14ac:dyDescent="0.25">
      <c r="A194" t="str">
        <f t="shared" si="4"/>
        <v/>
      </c>
      <c r="D194" s="3">
        <f>G193*Sheet1!$C$5/12</f>
        <v>-3.9917722460813814E-11</v>
      </c>
      <c r="E194" s="3">
        <f>IF(G193&lt;0.01,0,Sheet1!$C$6-D194)</f>
        <v>0</v>
      </c>
      <c r="F194" s="3">
        <f t="shared" si="5"/>
        <v>533725.41056715336</v>
      </c>
      <c r="G194" s="3">
        <f t="shared" si="6"/>
        <v>-2.661181497387588E-9</v>
      </c>
      <c r="H194" s="3">
        <f t="shared" si="7"/>
        <v>440000.00000000268</v>
      </c>
    </row>
    <row r="195" spans="1:8" x14ac:dyDescent="0.25">
      <c r="A195" t="str">
        <f t="shared" si="4"/>
        <v/>
      </c>
      <c r="D195" s="3">
        <f>G194*Sheet1!$C$5/12</f>
        <v>-3.9917722460813814E-11</v>
      </c>
      <c r="E195" s="3">
        <f>IF(G194&lt;0.01,0,Sheet1!$C$6-D195)</f>
        <v>0</v>
      </c>
      <c r="F195" s="3">
        <f t="shared" si="5"/>
        <v>533725.41056715336</v>
      </c>
      <c r="G195" s="3">
        <f t="shared" si="6"/>
        <v>-2.661181497387588E-9</v>
      </c>
      <c r="H195" s="3">
        <f t="shared" si="7"/>
        <v>440000.00000000268</v>
      </c>
    </row>
    <row r="196" spans="1:8" x14ac:dyDescent="0.25">
      <c r="A196" t="str">
        <f t="shared" si="4"/>
        <v/>
      </c>
      <c r="D196" s="3">
        <f>G195*Sheet1!$C$5/12</f>
        <v>-3.9917722460813814E-11</v>
      </c>
      <c r="E196" s="3">
        <f>IF(G195&lt;0.01,0,Sheet1!$C$6-D196)</f>
        <v>0</v>
      </c>
      <c r="F196" s="3">
        <f t="shared" si="5"/>
        <v>533725.41056715336</v>
      </c>
      <c r="G196" s="3">
        <f t="shared" si="6"/>
        <v>-2.661181497387588E-9</v>
      </c>
      <c r="H196" s="3">
        <f t="shared" si="7"/>
        <v>440000.00000000268</v>
      </c>
    </row>
    <row r="197" spans="1:8" x14ac:dyDescent="0.25">
      <c r="A197" t="str">
        <f t="shared" si="4"/>
        <v/>
      </c>
      <c r="D197" s="3">
        <f>G196*Sheet1!$C$5/12</f>
        <v>-3.9917722460813814E-11</v>
      </c>
      <c r="E197" s="3">
        <f>IF(G196&lt;0.01,0,Sheet1!$C$6-D197)</f>
        <v>0</v>
      </c>
      <c r="F197" s="3">
        <f t="shared" si="5"/>
        <v>533725.41056715336</v>
      </c>
      <c r="G197" s="3">
        <f t="shared" si="6"/>
        <v>-2.661181497387588E-9</v>
      </c>
      <c r="H197" s="3">
        <f t="shared" si="7"/>
        <v>440000.00000000268</v>
      </c>
    </row>
    <row r="198" spans="1:8" x14ac:dyDescent="0.25">
      <c r="A198" t="str">
        <f t="shared" si="4"/>
        <v/>
      </c>
      <c r="D198" s="3">
        <f>G197*Sheet1!$C$5/12</f>
        <v>-3.9917722460813814E-11</v>
      </c>
      <c r="E198" s="3">
        <f>IF(G197&lt;0.01,0,Sheet1!$C$6-D198)</f>
        <v>0</v>
      </c>
      <c r="F198" s="3">
        <f t="shared" si="5"/>
        <v>533725.41056715336</v>
      </c>
      <c r="G198" s="3">
        <f t="shared" si="6"/>
        <v>-2.661181497387588E-9</v>
      </c>
      <c r="H198" s="3">
        <f t="shared" si="7"/>
        <v>440000.00000000268</v>
      </c>
    </row>
    <row r="199" spans="1:8" x14ac:dyDescent="0.25">
      <c r="A199" t="str">
        <f t="shared" si="4"/>
        <v/>
      </c>
      <c r="D199" s="3">
        <f>G198*Sheet1!$C$5/12</f>
        <v>-3.9917722460813814E-11</v>
      </c>
      <c r="E199" s="3">
        <f>IF(G198&lt;0.01,0,Sheet1!$C$6-D199)</f>
        <v>0</v>
      </c>
      <c r="F199" s="3">
        <f t="shared" si="5"/>
        <v>533725.41056715336</v>
      </c>
      <c r="G199" s="3">
        <f t="shared" si="6"/>
        <v>-2.661181497387588E-9</v>
      </c>
      <c r="H199" s="3">
        <f t="shared" si="7"/>
        <v>440000.00000000268</v>
      </c>
    </row>
    <row r="200" spans="1:8" x14ac:dyDescent="0.25">
      <c r="A200" t="str">
        <f t="shared" si="4"/>
        <v/>
      </c>
      <c r="D200" s="3">
        <f>G199*Sheet1!$C$5/12</f>
        <v>-3.9917722460813814E-11</v>
      </c>
      <c r="E200" s="3">
        <f>IF(G199&lt;0.01,0,Sheet1!$C$6-D200)</f>
        <v>0</v>
      </c>
      <c r="F200" s="3">
        <f t="shared" si="5"/>
        <v>533725.41056715336</v>
      </c>
      <c r="G200" s="3">
        <f t="shared" si="6"/>
        <v>-2.661181497387588E-9</v>
      </c>
      <c r="H200" s="3">
        <f t="shared" si="7"/>
        <v>440000.00000000268</v>
      </c>
    </row>
    <row r="201" spans="1:8" x14ac:dyDescent="0.25">
      <c r="A201" t="str">
        <f t="shared" si="4"/>
        <v/>
      </c>
      <c r="D201" s="3">
        <f>G200*Sheet1!$C$5/12</f>
        <v>-3.9917722460813814E-11</v>
      </c>
      <c r="E201" s="3">
        <f>IF(G200&lt;0.01,0,Sheet1!$C$6-D201)</f>
        <v>0</v>
      </c>
      <c r="F201" s="3">
        <f t="shared" si="5"/>
        <v>533725.41056715336</v>
      </c>
      <c r="G201" s="3">
        <f t="shared" si="6"/>
        <v>-2.661181497387588E-9</v>
      </c>
      <c r="H201" s="3">
        <f t="shared" si="7"/>
        <v>440000.00000000268</v>
      </c>
    </row>
    <row r="202" spans="1:8" x14ac:dyDescent="0.25">
      <c r="A202" t="str">
        <f t="shared" si="4"/>
        <v/>
      </c>
      <c r="D202" s="3">
        <f>G201*Sheet1!$C$5/12</f>
        <v>-3.9917722460813814E-11</v>
      </c>
      <c r="E202" s="3">
        <f>IF(G201&lt;0.01,0,Sheet1!$C$6-D202)</f>
        <v>0</v>
      </c>
      <c r="F202" s="3">
        <f t="shared" si="5"/>
        <v>533725.41056715336</v>
      </c>
      <c r="G202" s="3">
        <f t="shared" si="6"/>
        <v>-2.661181497387588E-9</v>
      </c>
      <c r="H202" s="3">
        <f t="shared" si="7"/>
        <v>440000.00000000268</v>
      </c>
    </row>
    <row r="203" spans="1:8" x14ac:dyDescent="0.25">
      <c r="A203" t="str">
        <f t="shared" si="4"/>
        <v/>
      </c>
      <c r="D203" s="3">
        <f>G202*Sheet1!$C$5/12</f>
        <v>-3.9917722460813814E-11</v>
      </c>
      <c r="E203" s="3">
        <f>IF(G202&lt;0.01,0,Sheet1!$C$6-D203)</f>
        <v>0</v>
      </c>
      <c r="F203" s="3">
        <f t="shared" si="5"/>
        <v>533725.41056715336</v>
      </c>
      <c r="G203" s="3">
        <f t="shared" si="6"/>
        <v>-2.661181497387588E-9</v>
      </c>
      <c r="H203" s="3">
        <f t="shared" si="7"/>
        <v>440000.00000000268</v>
      </c>
    </row>
    <row r="204" spans="1:8" x14ac:dyDescent="0.25">
      <c r="A204" t="str">
        <f t="shared" si="4"/>
        <v/>
      </c>
      <c r="D204" s="3">
        <f>G203*Sheet1!$C$5/12</f>
        <v>-3.9917722460813814E-11</v>
      </c>
      <c r="E204" s="3">
        <f>IF(G203&lt;0.01,0,Sheet1!$C$6-D204)</f>
        <v>0</v>
      </c>
      <c r="F204" s="3">
        <f t="shared" si="5"/>
        <v>533725.41056715336</v>
      </c>
      <c r="G204" s="3">
        <f t="shared" si="6"/>
        <v>-2.661181497387588E-9</v>
      </c>
      <c r="H204" s="3">
        <f t="shared" si="7"/>
        <v>440000.00000000268</v>
      </c>
    </row>
    <row r="205" spans="1:8" x14ac:dyDescent="0.25">
      <c r="A205" t="str">
        <f t="shared" si="4"/>
        <v/>
      </c>
      <c r="D205" s="3">
        <f>G204*Sheet1!$C$5/12</f>
        <v>-3.9917722460813814E-11</v>
      </c>
      <c r="E205" s="3">
        <f>IF(G204&lt;0.01,0,Sheet1!$C$6-D205)</f>
        <v>0</v>
      </c>
      <c r="F205" s="3">
        <f t="shared" si="5"/>
        <v>533725.41056715336</v>
      </c>
      <c r="G205" s="3">
        <f t="shared" si="6"/>
        <v>-2.661181497387588E-9</v>
      </c>
      <c r="H205" s="3">
        <f t="shared" si="7"/>
        <v>440000.00000000268</v>
      </c>
    </row>
    <row r="206" spans="1:8" x14ac:dyDescent="0.25">
      <c r="A206" t="str">
        <f t="shared" si="4"/>
        <v/>
      </c>
      <c r="D206" s="3">
        <f>G205*Sheet1!$C$5/12</f>
        <v>-3.9917722460813814E-11</v>
      </c>
      <c r="E206" s="3">
        <f>IF(G205&lt;0.01,0,Sheet1!$C$6-D206)</f>
        <v>0</v>
      </c>
      <c r="F206" s="3">
        <f t="shared" si="5"/>
        <v>533725.41056715336</v>
      </c>
      <c r="G206" s="3">
        <f t="shared" si="6"/>
        <v>-2.661181497387588E-9</v>
      </c>
      <c r="H206" s="3">
        <f t="shared" si="7"/>
        <v>440000.00000000268</v>
      </c>
    </row>
    <row r="207" spans="1:8" x14ac:dyDescent="0.25">
      <c r="A207" t="str">
        <f t="shared" si="4"/>
        <v/>
      </c>
      <c r="D207" s="3">
        <f>G206*Sheet1!$C$5/12</f>
        <v>-3.9917722460813814E-11</v>
      </c>
      <c r="E207" s="3">
        <f>IF(G206&lt;0.01,0,Sheet1!$C$6-D207)</f>
        <v>0</v>
      </c>
      <c r="F207" s="3">
        <f t="shared" si="5"/>
        <v>533725.41056715336</v>
      </c>
      <c r="G207" s="3">
        <f t="shared" si="6"/>
        <v>-2.661181497387588E-9</v>
      </c>
      <c r="H207" s="3">
        <f t="shared" si="7"/>
        <v>440000.00000000268</v>
      </c>
    </row>
    <row r="208" spans="1:8" x14ac:dyDescent="0.25">
      <c r="A208" t="str">
        <f t="shared" si="4"/>
        <v/>
      </c>
      <c r="D208" s="3">
        <f>G207*Sheet1!$C$5/12</f>
        <v>-3.9917722460813814E-11</v>
      </c>
      <c r="E208" s="3">
        <f>IF(G207&lt;0.01,0,Sheet1!$C$6-D208)</f>
        <v>0</v>
      </c>
      <c r="F208" s="3">
        <f t="shared" si="5"/>
        <v>533725.41056715336</v>
      </c>
      <c r="G208" s="3">
        <f t="shared" si="6"/>
        <v>-2.661181497387588E-9</v>
      </c>
      <c r="H208" s="3">
        <f t="shared" si="7"/>
        <v>440000.00000000268</v>
      </c>
    </row>
    <row r="209" spans="1:8" x14ac:dyDescent="0.25">
      <c r="A209" t="str">
        <f t="shared" ref="A209:A242" si="8">IF(ISBLANK(B209),"",CEILING(B209/12,1))</f>
        <v/>
      </c>
      <c r="D209" s="3">
        <f>G208*Sheet1!$C$5/12</f>
        <v>-3.9917722460813814E-11</v>
      </c>
      <c r="E209" s="3">
        <f>IF(G208&lt;0.01,0,Sheet1!$C$6-D209)</f>
        <v>0</v>
      </c>
      <c r="F209" s="3">
        <f t="shared" ref="F209:F242" si="9">F208+D209+E209</f>
        <v>533725.41056715336</v>
      </c>
      <c r="G209" s="3">
        <f t="shared" ref="G209:G242" si="10">G208-E209</f>
        <v>-2.661181497387588E-9</v>
      </c>
      <c r="H209" s="3">
        <f t="shared" ref="H209:H242" si="11">E209+H208</f>
        <v>440000.00000000268</v>
      </c>
    </row>
    <row r="210" spans="1:8" x14ac:dyDescent="0.25">
      <c r="A210" t="str">
        <f t="shared" si="8"/>
        <v/>
      </c>
      <c r="D210" s="3">
        <f>G209*Sheet1!$C$5/12</f>
        <v>-3.9917722460813814E-11</v>
      </c>
      <c r="E210" s="3">
        <f>IF(G209&lt;0.01,0,Sheet1!$C$6-D210)</f>
        <v>0</v>
      </c>
      <c r="F210" s="3">
        <f t="shared" si="9"/>
        <v>533725.41056715336</v>
      </c>
      <c r="G210" s="3">
        <f t="shared" si="10"/>
        <v>-2.661181497387588E-9</v>
      </c>
      <c r="H210" s="3">
        <f t="shared" si="11"/>
        <v>440000.00000000268</v>
      </c>
    </row>
    <row r="211" spans="1:8" x14ac:dyDescent="0.25">
      <c r="A211" t="str">
        <f t="shared" si="8"/>
        <v/>
      </c>
      <c r="D211" s="3">
        <f>G210*Sheet1!$C$5/12</f>
        <v>-3.9917722460813814E-11</v>
      </c>
      <c r="E211" s="3">
        <f>IF(G210&lt;0.01,0,Sheet1!$C$6-D211)</f>
        <v>0</v>
      </c>
      <c r="F211" s="3">
        <f t="shared" si="9"/>
        <v>533725.41056715336</v>
      </c>
      <c r="G211" s="3">
        <f t="shared" si="10"/>
        <v>-2.661181497387588E-9</v>
      </c>
      <c r="H211" s="3">
        <f t="shared" si="11"/>
        <v>440000.00000000268</v>
      </c>
    </row>
    <row r="212" spans="1:8" x14ac:dyDescent="0.25">
      <c r="A212" t="str">
        <f t="shared" si="8"/>
        <v/>
      </c>
      <c r="D212" s="3">
        <f>G211*Sheet1!$C$5/12</f>
        <v>-3.9917722460813814E-11</v>
      </c>
      <c r="E212" s="3">
        <f>IF(G211&lt;0.01,0,Sheet1!$C$6-D212)</f>
        <v>0</v>
      </c>
      <c r="F212" s="3">
        <f t="shared" si="9"/>
        <v>533725.41056715336</v>
      </c>
      <c r="G212" s="3">
        <f t="shared" si="10"/>
        <v>-2.661181497387588E-9</v>
      </c>
      <c r="H212" s="3">
        <f t="shared" si="11"/>
        <v>440000.00000000268</v>
      </c>
    </row>
    <row r="213" spans="1:8" x14ac:dyDescent="0.25">
      <c r="A213" t="str">
        <f t="shared" si="8"/>
        <v/>
      </c>
      <c r="D213" s="3">
        <f>G212*Sheet1!$C$5/12</f>
        <v>-3.9917722460813814E-11</v>
      </c>
      <c r="E213" s="3">
        <f>IF(G212&lt;0.01,0,Sheet1!$C$6-D213)</f>
        <v>0</v>
      </c>
      <c r="F213" s="3">
        <f t="shared" si="9"/>
        <v>533725.41056715336</v>
      </c>
      <c r="G213" s="3">
        <f t="shared" si="10"/>
        <v>-2.661181497387588E-9</v>
      </c>
      <c r="H213" s="3">
        <f t="shared" si="11"/>
        <v>440000.00000000268</v>
      </c>
    </row>
    <row r="214" spans="1:8" x14ac:dyDescent="0.25">
      <c r="A214" t="str">
        <f t="shared" si="8"/>
        <v/>
      </c>
      <c r="D214" s="3">
        <f>G213*Sheet1!$C$5/12</f>
        <v>-3.9917722460813814E-11</v>
      </c>
      <c r="E214" s="3">
        <f>IF(G213&lt;0.01,0,Sheet1!$C$6-D214)</f>
        <v>0</v>
      </c>
      <c r="F214" s="3">
        <f t="shared" si="9"/>
        <v>533725.41056715336</v>
      </c>
      <c r="G214" s="3">
        <f t="shared" si="10"/>
        <v>-2.661181497387588E-9</v>
      </c>
      <c r="H214" s="3">
        <f t="shared" si="11"/>
        <v>440000.00000000268</v>
      </c>
    </row>
    <row r="215" spans="1:8" x14ac:dyDescent="0.25">
      <c r="A215" t="str">
        <f t="shared" si="8"/>
        <v/>
      </c>
      <c r="D215" s="3">
        <f>G214*Sheet1!$C$5/12</f>
        <v>-3.9917722460813814E-11</v>
      </c>
      <c r="E215" s="3">
        <f>IF(G214&lt;0.01,0,Sheet1!$C$6-D215)</f>
        <v>0</v>
      </c>
      <c r="F215" s="3">
        <f t="shared" si="9"/>
        <v>533725.41056715336</v>
      </c>
      <c r="G215" s="3">
        <f t="shared" si="10"/>
        <v>-2.661181497387588E-9</v>
      </c>
      <c r="H215" s="3">
        <f t="shared" si="11"/>
        <v>440000.00000000268</v>
      </c>
    </row>
    <row r="216" spans="1:8" x14ac:dyDescent="0.25">
      <c r="A216" t="str">
        <f t="shared" si="8"/>
        <v/>
      </c>
      <c r="D216" s="3">
        <f>G215*Sheet1!$C$5/12</f>
        <v>-3.9917722460813814E-11</v>
      </c>
      <c r="E216" s="3">
        <f>IF(G215&lt;0.01,0,Sheet1!$C$6-D216)</f>
        <v>0</v>
      </c>
      <c r="F216" s="3">
        <f t="shared" si="9"/>
        <v>533725.41056715336</v>
      </c>
      <c r="G216" s="3">
        <f t="shared" si="10"/>
        <v>-2.661181497387588E-9</v>
      </c>
      <c r="H216" s="3">
        <f t="shared" si="11"/>
        <v>440000.00000000268</v>
      </c>
    </row>
    <row r="217" spans="1:8" x14ac:dyDescent="0.25">
      <c r="A217" t="str">
        <f t="shared" si="8"/>
        <v/>
      </c>
      <c r="D217" s="3">
        <f>G216*Sheet1!$C$5/12</f>
        <v>-3.9917722460813814E-11</v>
      </c>
      <c r="E217" s="3">
        <f>IF(G216&lt;0.01,0,Sheet1!$C$6-D217)</f>
        <v>0</v>
      </c>
      <c r="F217" s="3">
        <f t="shared" si="9"/>
        <v>533725.41056715336</v>
      </c>
      <c r="G217" s="3">
        <f t="shared" si="10"/>
        <v>-2.661181497387588E-9</v>
      </c>
      <c r="H217" s="3">
        <f t="shared" si="11"/>
        <v>440000.00000000268</v>
      </c>
    </row>
    <row r="218" spans="1:8" x14ac:dyDescent="0.25">
      <c r="A218" t="str">
        <f t="shared" si="8"/>
        <v/>
      </c>
      <c r="D218" s="3">
        <f>G217*Sheet1!$C$5/12</f>
        <v>-3.9917722460813814E-11</v>
      </c>
      <c r="E218" s="3">
        <f>IF(G217&lt;0.01,0,Sheet1!$C$6-D218)</f>
        <v>0</v>
      </c>
      <c r="F218" s="3">
        <f t="shared" si="9"/>
        <v>533725.41056715336</v>
      </c>
      <c r="G218" s="3">
        <f t="shared" si="10"/>
        <v>-2.661181497387588E-9</v>
      </c>
      <c r="H218" s="3">
        <f t="shared" si="11"/>
        <v>440000.00000000268</v>
      </c>
    </row>
    <row r="219" spans="1:8" x14ac:dyDescent="0.25">
      <c r="A219" t="str">
        <f t="shared" si="8"/>
        <v/>
      </c>
      <c r="D219" s="3">
        <f>G218*Sheet1!$C$5/12</f>
        <v>-3.9917722460813814E-11</v>
      </c>
      <c r="E219" s="3">
        <f>IF(G218&lt;0.01,0,Sheet1!$C$6-D219)</f>
        <v>0</v>
      </c>
      <c r="F219" s="3">
        <f t="shared" si="9"/>
        <v>533725.41056715336</v>
      </c>
      <c r="G219" s="3">
        <f t="shared" si="10"/>
        <v>-2.661181497387588E-9</v>
      </c>
      <c r="H219" s="3">
        <f t="shared" si="11"/>
        <v>440000.00000000268</v>
      </c>
    </row>
    <row r="220" spans="1:8" x14ac:dyDescent="0.25">
      <c r="A220" t="str">
        <f t="shared" si="8"/>
        <v/>
      </c>
      <c r="D220" s="3">
        <f>G219*Sheet1!$C$5/12</f>
        <v>-3.9917722460813814E-11</v>
      </c>
      <c r="E220" s="3">
        <f>IF(G219&lt;0.01,0,Sheet1!$C$6-D220)</f>
        <v>0</v>
      </c>
      <c r="F220" s="3">
        <f t="shared" si="9"/>
        <v>533725.41056715336</v>
      </c>
      <c r="G220" s="3">
        <f t="shared" si="10"/>
        <v>-2.661181497387588E-9</v>
      </c>
      <c r="H220" s="3">
        <f t="shared" si="11"/>
        <v>440000.00000000268</v>
      </c>
    </row>
    <row r="221" spans="1:8" x14ac:dyDescent="0.25">
      <c r="A221" t="str">
        <f t="shared" si="8"/>
        <v/>
      </c>
      <c r="D221" s="3">
        <f>G220*Sheet1!$C$5/12</f>
        <v>-3.9917722460813814E-11</v>
      </c>
      <c r="E221" s="3">
        <f>IF(G220&lt;0.01,0,Sheet1!$C$6-D221)</f>
        <v>0</v>
      </c>
      <c r="F221" s="3">
        <f t="shared" si="9"/>
        <v>533725.41056715336</v>
      </c>
      <c r="G221" s="3">
        <f t="shared" si="10"/>
        <v>-2.661181497387588E-9</v>
      </c>
      <c r="H221" s="3">
        <f t="shared" si="11"/>
        <v>440000.00000000268</v>
      </c>
    </row>
    <row r="222" spans="1:8" x14ac:dyDescent="0.25">
      <c r="A222" t="str">
        <f t="shared" si="8"/>
        <v/>
      </c>
      <c r="D222" s="3">
        <f>G221*Sheet1!$C$5/12</f>
        <v>-3.9917722460813814E-11</v>
      </c>
      <c r="E222" s="3">
        <f>IF(G221&lt;0.01,0,Sheet1!$C$6-D222)</f>
        <v>0</v>
      </c>
      <c r="F222" s="3">
        <f t="shared" si="9"/>
        <v>533725.41056715336</v>
      </c>
      <c r="G222" s="3">
        <f t="shared" si="10"/>
        <v>-2.661181497387588E-9</v>
      </c>
      <c r="H222" s="3">
        <f t="shared" si="11"/>
        <v>440000.00000000268</v>
      </c>
    </row>
    <row r="223" spans="1:8" x14ac:dyDescent="0.25">
      <c r="A223" t="str">
        <f t="shared" si="8"/>
        <v/>
      </c>
      <c r="D223" s="3">
        <f>G222*Sheet1!$C$5/12</f>
        <v>-3.9917722460813814E-11</v>
      </c>
      <c r="E223" s="3">
        <f>IF(G222&lt;0.01,0,Sheet1!$C$6-D223)</f>
        <v>0</v>
      </c>
      <c r="F223" s="3">
        <f t="shared" si="9"/>
        <v>533725.41056715336</v>
      </c>
      <c r="G223" s="3">
        <f t="shared" si="10"/>
        <v>-2.661181497387588E-9</v>
      </c>
      <c r="H223" s="3">
        <f t="shared" si="11"/>
        <v>440000.00000000268</v>
      </c>
    </row>
    <row r="224" spans="1:8" x14ac:dyDescent="0.25">
      <c r="A224" t="str">
        <f t="shared" si="8"/>
        <v/>
      </c>
      <c r="D224" s="3">
        <f>G223*Sheet1!$C$5/12</f>
        <v>-3.9917722460813814E-11</v>
      </c>
      <c r="E224" s="3">
        <f>IF(G223&lt;0.01,0,Sheet1!$C$6-D224)</f>
        <v>0</v>
      </c>
      <c r="F224" s="3">
        <f t="shared" si="9"/>
        <v>533725.41056715336</v>
      </c>
      <c r="G224" s="3">
        <f t="shared" si="10"/>
        <v>-2.661181497387588E-9</v>
      </c>
      <c r="H224" s="3">
        <f t="shared" si="11"/>
        <v>440000.00000000268</v>
      </c>
    </row>
    <row r="225" spans="1:8" x14ac:dyDescent="0.25">
      <c r="A225" t="str">
        <f t="shared" si="8"/>
        <v/>
      </c>
      <c r="D225" s="3">
        <f>G224*Sheet1!$C$5/12</f>
        <v>-3.9917722460813814E-11</v>
      </c>
      <c r="E225" s="3">
        <f>IF(G224&lt;0.01,0,Sheet1!$C$6-D225)</f>
        <v>0</v>
      </c>
      <c r="F225" s="3">
        <f t="shared" si="9"/>
        <v>533725.41056715336</v>
      </c>
      <c r="G225" s="3">
        <f t="shared" si="10"/>
        <v>-2.661181497387588E-9</v>
      </c>
      <c r="H225" s="3">
        <f t="shared" si="11"/>
        <v>440000.00000000268</v>
      </c>
    </row>
    <row r="226" spans="1:8" x14ac:dyDescent="0.25">
      <c r="A226" t="str">
        <f t="shared" si="8"/>
        <v/>
      </c>
      <c r="D226" s="3">
        <f>G225*Sheet1!$C$5/12</f>
        <v>-3.9917722460813814E-11</v>
      </c>
      <c r="E226" s="3">
        <f>IF(G225&lt;0.01,0,Sheet1!$C$6-D226)</f>
        <v>0</v>
      </c>
      <c r="F226" s="3">
        <f t="shared" si="9"/>
        <v>533725.41056715336</v>
      </c>
      <c r="G226" s="3">
        <f t="shared" si="10"/>
        <v>-2.661181497387588E-9</v>
      </c>
      <c r="H226" s="3">
        <f t="shared" si="11"/>
        <v>440000.00000000268</v>
      </c>
    </row>
    <row r="227" spans="1:8" x14ac:dyDescent="0.25">
      <c r="A227" t="str">
        <f t="shared" si="8"/>
        <v/>
      </c>
      <c r="D227" s="3">
        <f>G226*Sheet1!$C$5/12</f>
        <v>-3.9917722460813814E-11</v>
      </c>
      <c r="E227" s="3">
        <f>IF(G226&lt;0.01,0,Sheet1!$C$6-D227)</f>
        <v>0</v>
      </c>
      <c r="F227" s="3">
        <f t="shared" si="9"/>
        <v>533725.41056715336</v>
      </c>
      <c r="G227" s="3">
        <f t="shared" si="10"/>
        <v>-2.661181497387588E-9</v>
      </c>
      <c r="H227" s="3">
        <f t="shared" si="11"/>
        <v>440000.00000000268</v>
      </c>
    </row>
    <row r="228" spans="1:8" x14ac:dyDescent="0.25">
      <c r="A228" t="str">
        <f t="shared" si="8"/>
        <v/>
      </c>
      <c r="D228" s="3">
        <f>G227*Sheet1!$C$5/12</f>
        <v>-3.9917722460813814E-11</v>
      </c>
      <c r="E228" s="3">
        <f>IF(G227&lt;0.01,0,Sheet1!$C$6-D228)</f>
        <v>0</v>
      </c>
      <c r="F228" s="3">
        <f t="shared" si="9"/>
        <v>533725.41056715336</v>
      </c>
      <c r="G228" s="3">
        <f t="shared" si="10"/>
        <v>-2.661181497387588E-9</v>
      </c>
      <c r="H228" s="3">
        <f t="shared" si="11"/>
        <v>440000.00000000268</v>
      </c>
    </row>
    <row r="229" spans="1:8" x14ac:dyDescent="0.25">
      <c r="A229" t="str">
        <f t="shared" si="8"/>
        <v/>
      </c>
      <c r="D229" s="3">
        <f>G228*Sheet1!$C$5/12</f>
        <v>-3.9917722460813814E-11</v>
      </c>
      <c r="E229" s="3">
        <f>IF(G228&lt;0.01,0,Sheet1!$C$6-D229)</f>
        <v>0</v>
      </c>
      <c r="F229" s="3">
        <f t="shared" si="9"/>
        <v>533725.41056715336</v>
      </c>
      <c r="G229" s="3">
        <f t="shared" si="10"/>
        <v>-2.661181497387588E-9</v>
      </c>
      <c r="H229" s="3">
        <f t="shared" si="11"/>
        <v>440000.00000000268</v>
      </c>
    </row>
    <row r="230" spans="1:8" x14ac:dyDescent="0.25">
      <c r="A230" t="str">
        <f t="shared" si="8"/>
        <v/>
      </c>
      <c r="D230" s="3">
        <f>G229*Sheet1!$C$5/12</f>
        <v>-3.9917722460813814E-11</v>
      </c>
      <c r="E230" s="3">
        <f>IF(G229&lt;0.01,0,Sheet1!$C$6-D230)</f>
        <v>0</v>
      </c>
      <c r="F230" s="3">
        <f t="shared" si="9"/>
        <v>533725.41056715336</v>
      </c>
      <c r="G230" s="3">
        <f t="shared" si="10"/>
        <v>-2.661181497387588E-9</v>
      </c>
      <c r="H230" s="3">
        <f t="shared" si="11"/>
        <v>440000.00000000268</v>
      </c>
    </row>
    <row r="231" spans="1:8" x14ac:dyDescent="0.25">
      <c r="A231" t="str">
        <f t="shared" si="8"/>
        <v/>
      </c>
      <c r="D231" s="3">
        <f>G230*Sheet1!$C$5/12</f>
        <v>-3.9917722460813814E-11</v>
      </c>
      <c r="E231" s="3">
        <f>IF(G230&lt;0.01,0,Sheet1!$C$6-D231)</f>
        <v>0</v>
      </c>
      <c r="F231" s="3">
        <f t="shared" si="9"/>
        <v>533725.41056715336</v>
      </c>
      <c r="G231" s="3">
        <f t="shared" si="10"/>
        <v>-2.661181497387588E-9</v>
      </c>
      <c r="H231" s="3">
        <f t="shared" si="11"/>
        <v>440000.00000000268</v>
      </c>
    </row>
    <row r="232" spans="1:8" x14ac:dyDescent="0.25">
      <c r="A232" t="str">
        <f t="shared" si="8"/>
        <v/>
      </c>
      <c r="D232" s="3">
        <f>G231*Sheet1!$C$5/12</f>
        <v>-3.9917722460813814E-11</v>
      </c>
      <c r="E232" s="3">
        <f>IF(G231&lt;0.01,0,Sheet1!$C$6-D232)</f>
        <v>0</v>
      </c>
      <c r="F232" s="3">
        <f t="shared" si="9"/>
        <v>533725.41056715336</v>
      </c>
      <c r="G232" s="3">
        <f t="shared" si="10"/>
        <v>-2.661181497387588E-9</v>
      </c>
      <c r="H232" s="3">
        <f t="shared" si="11"/>
        <v>440000.00000000268</v>
      </c>
    </row>
    <row r="233" spans="1:8" x14ac:dyDescent="0.25">
      <c r="A233" t="str">
        <f t="shared" si="8"/>
        <v/>
      </c>
      <c r="D233" s="3">
        <f>G232*Sheet1!$C$5/12</f>
        <v>-3.9917722460813814E-11</v>
      </c>
      <c r="E233" s="3">
        <f>IF(G232&lt;0.01,0,Sheet1!$C$6-D233)</f>
        <v>0</v>
      </c>
      <c r="F233" s="3">
        <f t="shared" si="9"/>
        <v>533725.41056715336</v>
      </c>
      <c r="G233" s="3">
        <f t="shared" si="10"/>
        <v>-2.661181497387588E-9</v>
      </c>
      <c r="H233" s="3">
        <f t="shared" si="11"/>
        <v>440000.00000000268</v>
      </c>
    </row>
    <row r="234" spans="1:8" x14ac:dyDescent="0.25">
      <c r="A234" t="str">
        <f t="shared" si="8"/>
        <v/>
      </c>
      <c r="D234" s="3">
        <f>G233*Sheet1!$C$5/12</f>
        <v>-3.9917722460813814E-11</v>
      </c>
      <c r="E234" s="3">
        <f>IF(G233&lt;0.01,0,Sheet1!$C$6-D234)</f>
        <v>0</v>
      </c>
      <c r="F234" s="3">
        <f t="shared" si="9"/>
        <v>533725.41056715336</v>
      </c>
      <c r="G234" s="3">
        <f t="shared" si="10"/>
        <v>-2.661181497387588E-9</v>
      </c>
      <c r="H234" s="3">
        <f t="shared" si="11"/>
        <v>440000.00000000268</v>
      </c>
    </row>
    <row r="235" spans="1:8" x14ac:dyDescent="0.25">
      <c r="A235" t="str">
        <f t="shared" si="8"/>
        <v/>
      </c>
      <c r="D235" s="3">
        <f>G234*Sheet1!$C$5/12</f>
        <v>-3.9917722460813814E-11</v>
      </c>
      <c r="E235" s="3">
        <f>IF(G234&lt;0.01,0,Sheet1!$C$6-D235)</f>
        <v>0</v>
      </c>
      <c r="F235" s="3">
        <f t="shared" si="9"/>
        <v>533725.41056715336</v>
      </c>
      <c r="G235" s="3">
        <f t="shared" si="10"/>
        <v>-2.661181497387588E-9</v>
      </c>
      <c r="H235" s="3">
        <f t="shared" si="11"/>
        <v>440000.00000000268</v>
      </c>
    </row>
    <row r="236" spans="1:8" x14ac:dyDescent="0.25">
      <c r="A236" t="str">
        <f t="shared" si="8"/>
        <v/>
      </c>
      <c r="D236" s="3">
        <f>G235*Sheet1!$C$5/12</f>
        <v>-3.9917722460813814E-11</v>
      </c>
      <c r="E236" s="3">
        <f>IF(G235&lt;0.01,0,Sheet1!$C$6-D236)</f>
        <v>0</v>
      </c>
      <c r="F236" s="3">
        <f t="shared" si="9"/>
        <v>533725.41056715336</v>
      </c>
      <c r="G236" s="3">
        <f t="shared" si="10"/>
        <v>-2.661181497387588E-9</v>
      </c>
      <c r="H236" s="3">
        <f t="shared" si="11"/>
        <v>440000.00000000268</v>
      </c>
    </row>
    <row r="237" spans="1:8" x14ac:dyDescent="0.25">
      <c r="A237" t="str">
        <f t="shared" si="8"/>
        <v/>
      </c>
      <c r="D237" s="3">
        <f>G236*Sheet1!$C$5/12</f>
        <v>-3.9917722460813814E-11</v>
      </c>
      <c r="E237" s="3">
        <f>IF(G236&lt;0.01,0,Sheet1!$C$6-D237)</f>
        <v>0</v>
      </c>
      <c r="F237" s="3">
        <f t="shared" si="9"/>
        <v>533725.41056715336</v>
      </c>
      <c r="G237" s="3">
        <f t="shared" si="10"/>
        <v>-2.661181497387588E-9</v>
      </c>
      <c r="H237" s="3">
        <f t="shared" si="11"/>
        <v>440000.00000000268</v>
      </c>
    </row>
    <row r="238" spans="1:8" x14ac:dyDescent="0.25">
      <c r="A238" t="str">
        <f t="shared" si="8"/>
        <v/>
      </c>
      <c r="D238" s="3">
        <f>G237*Sheet1!$C$5/12</f>
        <v>-3.9917722460813814E-11</v>
      </c>
      <c r="E238" s="3">
        <f>IF(G237&lt;0.01,0,Sheet1!$C$6-D238)</f>
        <v>0</v>
      </c>
      <c r="F238" s="3">
        <f t="shared" si="9"/>
        <v>533725.41056715336</v>
      </c>
      <c r="G238" s="3">
        <f t="shared" si="10"/>
        <v>-2.661181497387588E-9</v>
      </c>
      <c r="H238" s="3">
        <f t="shared" si="11"/>
        <v>440000.00000000268</v>
      </c>
    </row>
    <row r="239" spans="1:8" x14ac:dyDescent="0.25">
      <c r="A239" t="str">
        <f t="shared" si="8"/>
        <v/>
      </c>
      <c r="D239" s="3">
        <f>G238*Sheet1!$C$5/12</f>
        <v>-3.9917722460813814E-11</v>
      </c>
      <c r="E239" s="3">
        <f>IF(G238&lt;0.01,0,Sheet1!$C$6-D239)</f>
        <v>0</v>
      </c>
      <c r="F239" s="3">
        <f t="shared" si="9"/>
        <v>533725.41056715336</v>
      </c>
      <c r="G239" s="3">
        <f t="shared" si="10"/>
        <v>-2.661181497387588E-9</v>
      </c>
      <c r="H239" s="3">
        <f t="shared" si="11"/>
        <v>440000.00000000268</v>
      </c>
    </row>
    <row r="240" spans="1:8" x14ac:dyDescent="0.25">
      <c r="A240" t="str">
        <f t="shared" si="8"/>
        <v/>
      </c>
      <c r="D240" s="3">
        <f>G239*Sheet1!$C$5/12</f>
        <v>-3.9917722460813814E-11</v>
      </c>
      <c r="E240" s="3">
        <f>IF(G239&lt;0.01,0,Sheet1!$C$6-D240)</f>
        <v>0</v>
      </c>
      <c r="F240" s="3">
        <f t="shared" si="9"/>
        <v>533725.41056715336</v>
      </c>
      <c r="G240" s="3">
        <f t="shared" si="10"/>
        <v>-2.661181497387588E-9</v>
      </c>
      <c r="H240" s="3">
        <f t="shared" si="11"/>
        <v>440000.00000000268</v>
      </c>
    </row>
    <row r="241" spans="1:8" x14ac:dyDescent="0.25">
      <c r="A241" t="str">
        <f t="shared" si="8"/>
        <v/>
      </c>
      <c r="D241" s="3">
        <f>G240*Sheet1!$C$5/12</f>
        <v>-3.9917722460813814E-11</v>
      </c>
      <c r="E241" s="3">
        <f>IF(G240&lt;0.01,0,Sheet1!$C$6-D241)</f>
        <v>0</v>
      </c>
      <c r="F241" s="3">
        <f t="shared" si="9"/>
        <v>533725.41056715336</v>
      </c>
      <c r="G241" s="3">
        <f t="shared" si="10"/>
        <v>-2.661181497387588E-9</v>
      </c>
      <c r="H241" s="3">
        <f t="shared" si="11"/>
        <v>440000.00000000268</v>
      </c>
    </row>
    <row r="242" spans="1:8" x14ac:dyDescent="0.25">
      <c r="A242" t="str">
        <f t="shared" si="8"/>
        <v/>
      </c>
      <c r="D242" s="3">
        <f>G241*Sheet1!$C$5/12</f>
        <v>-3.9917722460813814E-11</v>
      </c>
      <c r="E242" s="3">
        <f>IF(G241&lt;0.01,0,Sheet1!$C$6-D242)</f>
        <v>0</v>
      </c>
      <c r="F242" s="3">
        <f t="shared" si="9"/>
        <v>533725.41056715336</v>
      </c>
      <c r="G242" s="3">
        <f t="shared" si="10"/>
        <v>-2.661181497387588E-9</v>
      </c>
      <c r="H242" s="3">
        <f t="shared" si="11"/>
        <v>440000.00000000268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Rodriguez Walton</dc:creator>
  <cp:lastModifiedBy>Samuel Rodriguez Walton</cp:lastModifiedBy>
  <dcterms:created xsi:type="dcterms:W3CDTF">2025-09-16T17:47:27Z</dcterms:created>
  <dcterms:modified xsi:type="dcterms:W3CDTF">2025-09-17T01:07:40Z</dcterms:modified>
</cp:coreProperties>
</file>