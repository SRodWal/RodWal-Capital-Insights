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rodwals-my.sharepoint.com/personal/samuel_rodwal_com/Documents/Professional_WorkTools/Github/RodWal-Capital-Insights/Stock Selection/"/>
    </mc:Choice>
  </mc:AlternateContent>
  <xr:revisionPtr revIDLastSave="1" documentId="11_64AD08AE1E50CC0F62355476585DCE3A87464A53" xr6:coauthVersionLast="47" xr6:coauthVersionMax="47" xr10:uidLastSave="{4D9DB29A-32D2-4ACC-B0AC-4C68927F6024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1" i="1" l="1"/>
</calcChain>
</file>

<file path=xl/sharedStrings.xml><?xml version="1.0" encoding="utf-8"?>
<sst xmlns="http://schemas.openxmlformats.org/spreadsheetml/2006/main" count="555" uniqueCount="185">
  <si>
    <t>Chapter</t>
  </si>
  <si>
    <t>Name</t>
  </si>
  <si>
    <t>Ticker</t>
  </si>
  <si>
    <t>Close Price</t>
  </si>
  <si>
    <t>GICS Sector</t>
  </si>
  <si>
    <t>Expected Dividend Yield %</t>
  </si>
  <si>
    <t>Trailing P/E</t>
  </si>
  <si>
    <t>Forward P/E</t>
  </si>
  <si>
    <t>PEG Ratio</t>
  </si>
  <si>
    <t>EBITDA Margin %</t>
  </si>
  <si>
    <t>Net Income to Common</t>
  </si>
  <si>
    <t>Net Income %</t>
  </si>
  <si>
    <t>EPS</t>
  </si>
  <si>
    <t>Forward EPS</t>
  </si>
  <si>
    <t>Volatility %</t>
  </si>
  <si>
    <t>Healthcare</t>
  </si>
  <si>
    <t>Agios Pharmaceuticals, Inc.</t>
  </si>
  <si>
    <t>AGIO</t>
  </si>
  <si>
    <t>N/A</t>
  </si>
  <si>
    <t>Technology</t>
  </si>
  <si>
    <t>Palo Alto Networks, Inc.</t>
  </si>
  <si>
    <t>PANW</t>
  </si>
  <si>
    <t>Broadcom Inc.</t>
  </si>
  <si>
    <t>AVGO</t>
  </si>
  <si>
    <t>Consumer Def &amp; Cyclical</t>
  </si>
  <si>
    <t>Darling Ingredients Inc.</t>
  </si>
  <si>
    <t>DAR</t>
  </si>
  <si>
    <t>Consumer Defensive</t>
  </si>
  <si>
    <t>Energy &amp; Utilities</t>
  </si>
  <si>
    <t>SHELL PLC</t>
  </si>
  <si>
    <t>SHELL.AS</t>
  </si>
  <si>
    <t>Energy</t>
  </si>
  <si>
    <t>First Solar, Inc.</t>
  </si>
  <si>
    <t>FSLR</t>
  </si>
  <si>
    <t>CFDs</t>
  </si>
  <si>
    <t>Gold Dec 25</t>
  </si>
  <si>
    <t>GC=F</t>
  </si>
  <si>
    <t>Unknown</t>
  </si>
  <si>
    <t>Levi Strauss &amp; Co</t>
  </si>
  <si>
    <t>LEVI</t>
  </si>
  <si>
    <t>Consumer Cyclical</t>
  </si>
  <si>
    <t>Gilead Sciences, Inc.</t>
  </si>
  <si>
    <t>GILD</t>
  </si>
  <si>
    <t>NVIDIA Corporation</t>
  </si>
  <si>
    <t>NVDA</t>
  </si>
  <si>
    <t>NextEra Energy, Inc.</t>
  </si>
  <si>
    <t>NEE</t>
  </si>
  <si>
    <t>Utilities</t>
  </si>
  <si>
    <t>Albertsons Companies, Inc.</t>
  </si>
  <si>
    <t>ACI</t>
  </si>
  <si>
    <t>Applied Materials, Inc.</t>
  </si>
  <si>
    <t>AMAT</t>
  </si>
  <si>
    <t>Apple Inc.</t>
  </si>
  <si>
    <t>AAPL</t>
  </si>
  <si>
    <t>Pepsico, Inc.</t>
  </si>
  <si>
    <t>PEP</t>
  </si>
  <si>
    <t>Financial Services</t>
  </si>
  <si>
    <t>Visa Inc.</t>
  </si>
  <si>
    <t>V</t>
  </si>
  <si>
    <t>QUALCOMM Incorporated</t>
  </si>
  <si>
    <t>QCOM</t>
  </si>
  <si>
    <t>Yum! Brands, Inc.</t>
  </si>
  <si>
    <t>YUM</t>
  </si>
  <si>
    <t>Ingredion Incorporated</t>
  </si>
  <si>
    <t>INGR</t>
  </si>
  <si>
    <t>LVMH</t>
  </si>
  <si>
    <t>MC.PA</t>
  </si>
  <si>
    <t>Microsoft Corporation</t>
  </si>
  <si>
    <t>MSFT</t>
  </si>
  <si>
    <t>Mastercard Incorporated</t>
  </si>
  <si>
    <t>MA</t>
  </si>
  <si>
    <t>American Electric Power Company</t>
  </si>
  <si>
    <t>AEP</t>
  </si>
  <si>
    <t>Walmart Inc.</t>
  </si>
  <si>
    <t>WMT</t>
  </si>
  <si>
    <t>ASML Holding N.V. - New York Re</t>
  </si>
  <si>
    <t>ASML</t>
  </si>
  <si>
    <t>YPF Sociedad Anonima</t>
  </si>
  <si>
    <t>YPF</t>
  </si>
  <si>
    <t>Duke Energy Corporation (Holdin</t>
  </si>
  <si>
    <t>DUK</t>
  </si>
  <si>
    <t>Kimberly-Clark Corporation</t>
  </si>
  <si>
    <t>KMB</t>
  </si>
  <si>
    <t>ING Group, N.V.</t>
  </si>
  <si>
    <t>ING</t>
  </si>
  <si>
    <t>Alphabet Inc.</t>
  </si>
  <si>
    <t>GOOGL</t>
  </si>
  <si>
    <t>Communication Services</t>
  </si>
  <si>
    <t>APA Corporation</t>
  </si>
  <si>
    <t>APA</t>
  </si>
  <si>
    <t>Taiwan Semiconductor Manufactur</t>
  </si>
  <si>
    <t>TSM</t>
  </si>
  <si>
    <t>Exelon Corporation</t>
  </si>
  <si>
    <t>EXC</t>
  </si>
  <si>
    <t>Grupo Cibest S.A.</t>
  </si>
  <si>
    <t>CIB</t>
  </si>
  <si>
    <t>Altria Group, Inc.</t>
  </si>
  <si>
    <t>MO</t>
  </si>
  <si>
    <t>BANCO BILBAO VIZCAYA ARGENTARIA</t>
  </si>
  <si>
    <t>BBVA.MC</t>
  </si>
  <si>
    <t>Barclays PLC</t>
  </si>
  <si>
    <t>BCS</t>
  </si>
  <si>
    <t>Sumitomo Mitsui Financial Group</t>
  </si>
  <si>
    <t>SMFG</t>
  </si>
  <si>
    <t>Others</t>
  </si>
  <si>
    <t>Error: 'float' object has no attribute 'upper'</t>
  </si>
  <si>
    <t>INDEX</t>
  </si>
  <si>
    <t>^VIX</t>
  </si>
  <si>
    <t>Maxeon Solar Technologies, Ltd.</t>
  </si>
  <si>
    <t>MAXN</t>
  </si>
  <si>
    <t>USD/MXN</t>
  </si>
  <si>
    <t>MXN=X</t>
  </si>
  <si>
    <t>ETF</t>
  </si>
  <si>
    <t>ISHARES IV PLC IS $ SHRT DUR CO</t>
  </si>
  <si>
    <t>SDIA.L</t>
  </si>
  <si>
    <t>ISHARES II PLC ISH $ FLOAT BOND</t>
  </si>
  <si>
    <t>FLOA.L</t>
  </si>
  <si>
    <t>VANGUARD FUNDS PLC VANGUARD FTS</t>
  </si>
  <si>
    <t>VHYD.L</t>
  </si>
  <si>
    <t xml:space="preserve">Vanguard FTSE Emerging Markets </t>
  </si>
  <si>
    <t>VWO</t>
  </si>
  <si>
    <t>Basic Materials</t>
  </si>
  <si>
    <t>Sociedad Quimica y Minera S.A.</t>
  </si>
  <si>
    <t>SQM</t>
  </si>
  <si>
    <t>SPDR S&amp;P 500</t>
  </si>
  <si>
    <t>SPY</t>
  </si>
  <si>
    <t>VanEck ETP AG                 E</t>
  </si>
  <si>
    <t>VBTC.DE</t>
  </si>
  <si>
    <t>L&amp;G Battery Value-Chain UCITS E</t>
  </si>
  <si>
    <t>BATT.AS</t>
  </si>
  <si>
    <t>USD/JPY</t>
  </si>
  <si>
    <t>JPY=X</t>
  </si>
  <si>
    <t>US30</t>
  </si>
  <si>
    <t xml:space="preserve">Error: HTTP Error 404: </t>
  </si>
  <si>
    <t>GLOBAL X ETFS ICAV ROBOTICS &amp; A</t>
  </si>
  <si>
    <t>BOTZ.L</t>
  </si>
  <si>
    <t>Vanguard Total Bond Market ETF</t>
  </si>
  <si>
    <t>BND</t>
  </si>
  <si>
    <t>INTERNAL_ACCOUNT</t>
  </si>
  <si>
    <t>HCA Healthcare, Inc.</t>
  </si>
  <si>
    <t>HCA</t>
  </si>
  <si>
    <t>Industrials</t>
  </si>
  <si>
    <t>3M Company</t>
  </si>
  <si>
    <t>MMM</t>
  </si>
  <si>
    <t>Palantir Technologies Inc.</t>
  </si>
  <si>
    <t>PLTR</t>
  </si>
  <si>
    <t>Aptiv PLC</t>
  </si>
  <si>
    <t>APTV</t>
  </si>
  <si>
    <t>Yum China Holdings, Inc.</t>
  </si>
  <si>
    <t>YUMC</t>
  </si>
  <si>
    <t>Pacific Gas &amp; Electric Co.</t>
  </si>
  <si>
    <t>PCG</t>
  </si>
  <si>
    <t>JinkoSolar Holding Company Limi</t>
  </si>
  <si>
    <t>JKS</t>
  </si>
  <si>
    <t>SWI.US</t>
  </si>
  <si>
    <t>Canadian Solar Inc.</t>
  </si>
  <si>
    <t>CSIQ</t>
  </si>
  <si>
    <t>Citigroup, Inc.</t>
  </si>
  <si>
    <t>C</t>
  </si>
  <si>
    <t>Credicorp Ltd.</t>
  </si>
  <si>
    <t>BAP</t>
  </si>
  <si>
    <t>Coinbase Global, Inc.</t>
  </si>
  <si>
    <t>COIN</t>
  </si>
  <si>
    <t>General Mills, Inc.</t>
  </si>
  <si>
    <t>GIS</t>
  </si>
  <si>
    <t>iShares Silver Trust</t>
  </si>
  <si>
    <t>SLV</t>
  </si>
  <si>
    <t>Banco Bilbao Vizcaya Argentaria</t>
  </si>
  <si>
    <t>BBVA</t>
  </si>
  <si>
    <t>Banco BBVA Argentina S.A.</t>
  </si>
  <si>
    <t>BBAR</t>
  </si>
  <si>
    <t>Bitwise Europe GmbH           O</t>
  </si>
  <si>
    <t>BTCE.DE</t>
  </si>
  <si>
    <t>TotalEnergies SE</t>
  </si>
  <si>
    <t>TTE</t>
  </si>
  <si>
    <t>Equinor ASA</t>
  </si>
  <si>
    <t>EQNR</t>
  </si>
  <si>
    <t>WISDOMTREE METAL SECURITIES LIM</t>
  </si>
  <si>
    <t>PHGP.L</t>
  </si>
  <si>
    <t>Banco Latinoamericano de Comerc</t>
  </si>
  <si>
    <t>BLX</t>
  </si>
  <si>
    <t>iShares Asia Pacific Dividend U</t>
  </si>
  <si>
    <t>IAPD.AS</t>
  </si>
  <si>
    <t>Occidental Petroleum Corporatio</t>
  </si>
  <si>
    <t>OXY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</si>
</sst>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9"/>
  <sheetViews>
    <sheetView tabSelected="1" topLeftCell="A37" workbookViewId="0">
      <selection activeCell="O42" sqref="O42"/>
    </sheetView>
  </sheetViews>
  <sheetFormatPr defaultRowHeight="15" x14ac:dyDescent="0.25"/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t="s">
        <v>15</v>
      </c>
      <c r="B2" t="s">
        <v>16</v>
      </c>
      <c r="C2" t="s">
        <v>17</v>
      </c>
      <c r="D2">
        <v>40.5</v>
      </c>
      <c r="E2" t="s">
        <v>15</v>
      </c>
      <c r="F2" t="s">
        <v>18</v>
      </c>
      <c r="G2">
        <v>3.5872454999999999</v>
      </c>
      <c r="H2">
        <v>-6.6611843000000004</v>
      </c>
      <c r="I2" t="s">
        <v>18</v>
      </c>
      <c r="J2">
        <v>0</v>
      </c>
      <c r="K2">
        <v>650083008</v>
      </c>
      <c r="L2">
        <v>1590.4171449541279</v>
      </c>
      <c r="M2">
        <v>11.29</v>
      </c>
      <c r="N2">
        <v>-6.0799999183328399</v>
      </c>
      <c r="O2">
        <v>53.525549205211703</v>
      </c>
    </row>
    <row r="3" spans="1:15" x14ac:dyDescent="0.25">
      <c r="A3" t="s">
        <v>19</v>
      </c>
      <c r="B3" t="s">
        <v>20</v>
      </c>
      <c r="C3" t="s">
        <v>21</v>
      </c>
      <c r="D3">
        <v>207.19000244140619</v>
      </c>
      <c r="E3" t="s">
        <v>19</v>
      </c>
      <c r="F3" t="s">
        <v>18</v>
      </c>
      <c r="G3">
        <v>130.30817999999999</v>
      </c>
      <c r="H3">
        <v>28.776389999999999</v>
      </c>
      <c r="I3" t="s">
        <v>18</v>
      </c>
      <c r="J3">
        <v>14.417</v>
      </c>
      <c r="K3">
        <v>1133900032</v>
      </c>
      <c r="L3">
        <v>12.296264640290779</v>
      </c>
      <c r="M3">
        <v>1.59</v>
      </c>
      <c r="N3">
        <v>7.199999806834918</v>
      </c>
      <c r="O3">
        <v>35.501557440920642</v>
      </c>
    </row>
    <row r="4" spans="1:15" x14ac:dyDescent="0.25">
      <c r="A4" t="s">
        <v>19</v>
      </c>
      <c r="B4" t="s">
        <v>22</v>
      </c>
      <c r="C4" t="s">
        <v>23</v>
      </c>
      <c r="D4">
        <v>338.3699951171875</v>
      </c>
      <c r="E4" t="s">
        <v>19</v>
      </c>
      <c r="F4">
        <v>70</v>
      </c>
      <c r="G4">
        <v>86.984570000000005</v>
      </c>
      <c r="H4">
        <v>54.841163999999999</v>
      </c>
      <c r="I4" t="s">
        <v>18</v>
      </c>
      <c r="J4">
        <v>54.644000000000013</v>
      </c>
      <c r="K4">
        <v>18812999680</v>
      </c>
      <c r="L4">
        <v>31.393718587177311</v>
      </c>
      <c r="M4">
        <v>3.89</v>
      </c>
      <c r="N4">
        <v>6.1700002413732049</v>
      </c>
      <c r="O4">
        <v>57.13872836389411</v>
      </c>
    </row>
    <row r="5" spans="1:15" x14ac:dyDescent="0.25">
      <c r="A5" t="s">
        <v>24</v>
      </c>
      <c r="B5" t="s">
        <v>25</v>
      </c>
      <c r="C5" t="s">
        <v>26</v>
      </c>
      <c r="D5">
        <v>31.75</v>
      </c>
      <c r="E5" t="s">
        <v>27</v>
      </c>
      <c r="F5" t="s">
        <v>18</v>
      </c>
      <c r="G5">
        <v>48.846156999999998</v>
      </c>
      <c r="H5">
        <v>10.618729</v>
      </c>
      <c r="I5" t="s">
        <v>18</v>
      </c>
      <c r="J5">
        <v>14.28</v>
      </c>
      <c r="K5">
        <v>105358000</v>
      </c>
      <c r="L5">
        <v>1.847836152611434</v>
      </c>
      <c r="M5">
        <v>0.65</v>
      </c>
      <c r="N5">
        <v>2.990000027310237</v>
      </c>
      <c r="O5">
        <v>44.030931787977238</v>
      </c>
    </row>
    <row r="6" spans="1:15" x14ac:dyDescent="0.25">
      <c r="A6" t="s">
        <v>28</v>
      </c>
      <c r="B6" t="s">
        <v>29</v>
      </c>
      <c r="C6" t="s">
        <v>30</v>
      </c>
      <c r="D6">
        <v>31.10000038146973</v>
      </c>
      <c r="E6" t="s">
        <v>31</v>
      </c>
      <c r="F6">
        <v>392</v>
      </c>
      <c r="G6">
        <v>16.282722</v>
      </c>
      <c r="H6">
        <v>8.1413609999999998</v>
      </c>
      <c r="I6" t="s">
        <v>18</v>
      </c>
      <c r="J6">
        <v>17.751999999999999</v>
      </c>
      <c r="K6">
        <v>13601000448</v>
      </c>
      <c r="L6">
        <v>5.0001655650679302</v>
      </c>
      <c r="M6">
        <v>1.91</v>
      </c>
      <c r="N6">
        <v>3.8200001672287631</v>
      </c>
      <c r="O6">
        <v>20.736422822991731</v>
      </c>
    </row>
    <row r="7" spans="1:15" x14ac:dyDescent="0.25">
      <c r="A7" t="s">
        <v>28</v>
      </c>
      <c r="B7" t="s">
        <v>32</v>
      </c>
      <c r="C7" t="s">
        <v>33</v>
      </c>
      <c r="D7">
        <v>230.1300048828125</v>
      </c>
      <c r="E7" t="s">
        <v>19</v>
      </c>
      <c r="F7" t="s">
        <v>18</v>
      </c>
      <c r="G7">
        <v>19.669231</v>
      </c>
      <c r="H7">
        <v>11.032119</v>
      </c>
      <c r="I7" t="s">
        <v>18</v>
      </c>
      <c r="J7">
        <v>42.540002000000001</v>
      </c>
      <c r="K7">
        <v>1257474944</v>
      </c>
      <c r="L7">
        <v>28.951150941116499</v>
      </c>
      <c r="M7">
        <v>11.7</v>
      </c>
      <c r="N7">
        <v>20.86000023049176</v>
      </c>
      <c r="O7">
        <v>62.020181683692321</v>
      </c>
    </row>
    <row r="8" spans="1:15" x14ac:dyDescent="0.25">
      <c r="A8" t="s">
        <v>34</v>
      </c>
      <c r="B8" t="s">
        <v>35</v>
      </c>
      <c r="C8" t="s">
        <v>36</v>
      </c>
      <c r="D8">
        <v>3880.800048828125</v>
      </c>
      <c r="E8" t="s">
        <v>37</v>
      </c>
      <c r="F8" t="s">
        <v>18</v>
      </c>
      <c r="G8" t="s">
        <v>18</v>
      </c>
      <c r="H8" t="s">
        <v>18</v>
      </c>
      <c r="I8" t="s">
        <v>18</v>
      </c>
      <c r="J8" t="s">
        <v>18</v>
      </c>
      <c r="K8" t="s">
        <v>18</v>
      </c>
      <c r="L8" t="s">
        <v>18</v>
      </c>
      <c r="M8" t="s">
        <v>18</v>
      </c>
      <c r="O8">
        <v>18.27278435427483</v>
      </c>
    </row>
    <row r="9" spans="1:15" x14ac:dyDescent="0.25">
      <c r="A9" t="s">
        <v>24</v>
      </c>
      <c r="B9" t="s">
        <v>38</v>
      </c>
      <c r="C9" t="s">
        <v>39</v>
      </c>
      <c r="D9">
        <v>24.45000076293945</v>
      </c>
      <c r="E9" t="s">
        <v>40</v>
      </c>
      <c r="F9">
        <v>230</v>
      </c>
      <c r="G9">
        <v>23.285717000000002</v>
      </c>
      <c r="H9">
        <v>17.464286999999999</v>
      </c>
      <c r="I9" t="s">
        <v>18</v>
      </c>
      <c r="J9">
        <v>14.885001000000001</v>
      </c>
      <c r="K9">
        <v>423100000</v>
      </c>
      <c r="L9">
        <v>6.5201648087588282</v>
      </c>
      <c r="M9">
        <v>1.05</v>
      </c>
      <c r="N9">
        <v>1.399999940618214</v>
      </c>
      <c r="O9">
        <v>41.068061236044372</v>
      </c>
    </row>
    <row r="10" spans="1:15" x14ac:dyDescent="0.25">
      <c r="A10" t="s">
        <v>15</v>
      </c>
      <c r="B10" t="s">
        <v>41</v>
      </c>
      <c r="C10" t="s">
        <v>42</v>
      </c>
      <c r="D10">
        <v>112.69000244140619</v>
      </c>
      <c r="E10" t="s">
        <v>15</v>
      </c>
      <c r="F10">
        <v>286</v>
      </c>
      <c r="G10">
        <v>22.359127000000001</v>
      </c>
      <c r="H10">
        <v>15.166892000000001</v>
      </c>
      <c r="I10" t="s">
        <v>18</v>
      </c>
      <c r="J10">
        <v>47.816001999999997</v>
      </c>
      <c r="K10">
        <v>6311000064</v>
      </c>
      <c r="L10">
        <v>21.865363746164661</v>
      </c>
      <c r="M10">
        <v>5.04</v>
      </c>
      <c r="N10">
        <v>7.429999662515316</v>
      </c>
      <c r="O10">
        <v>27.928180431315429</v>
      </c>
    </row>
    <row r="11" spans="1:15" x14ac:dyDescent="0.25">
      <c r="A11" t="s">
        <v>19</v>
      </c>
      <c r="B11" t="s">
        <v>43</v>
      </c>
      <c r="C11" t="s">
        <v>44</v>
      </c>
      <c r="D11">
        <v>187.6199951171875</v>
      </c>
      <c r="E11" t="s">
        <v>19</v>
      </c>
      <c r="F11">
        <v>2</v>
      </c>
      <c r="G11">
        <v>53.45299</v>
      </c>
      <c r="H11">
        <v>45.538834000000001</v>
      </c>
      <c r="I11" t="s">
        <v>18</v>
      </c>
      <c r="J11">
        <v>59.485999999999997</v>
      </c>
      <c r="K11">
        <v>86597001216</v>
      </c>
      <c r="L11">
        <v>52.413783631389833</v>
      </c>
      <c r="M11">
        <v>3.51</v>
      </c>
      <c r="N11">
        <v>4.1199999788573312</v>
      </c>
      <c r="O11">
        <v>49.534378494886418</v>
      </c>
    </row>
    <row r="12" spans="1:15" x14ac:dyDescent="0.25">
      <c r="A12" t="s">
        <v>28</v>
      </c>
      <c r="B12" t="s">
        <v>45</v>
      </c>
      <c r="C12" t="s">
        <v>46</v>
      </c>
      <c r="D12">
        <v>80.05999755859375</v>
      </c>
      <c r="E12" t="s">
        <v>47</v>
      </c>
      <c r="F12">
        <v>290</v>
      </c>
      <c r="G12">
        <v>27.895472000000002</v>
      </c>
      <c r="H12">
        <v>21.755434000000001</v>
      </c>
      <c r="I12" t="s">
        <v>18</v>
      </c>
      <c r="J12">
        <v>56.538999999999987</v>
      </c>
      <c r="K12">
        <v>5918000128</v>
      </c>
      <c r="L12">
        <v>22.850303764132139</v>
      </c>
      <c r="M12">
        <v>2.87</v>
      </c>
      <c r="N12">
        <v>3.6800000201601928</v>
      </c>
      <c r="O12">
        <v>29.045904578927331</v>
      </c>
    </row>
    <row r="13" spans="1:15" x14ac:dyDescent="0.25">
      <c r="A13" t="s">
        <v>24</v>
      </c>
      <c r="B13" t="s">
        <v>48</v>
      </c>
      <c r="C13" t="s">
        <v>49</v>
      </c>
      <c r="D13">
        <v>17.379999160766602</v>
      </c>
      <c r="E13" t="s">
        <v>27</v>
      </c>
      <c r="F13">
        <v>346</v>
      </c>
      <c r="G13">
        <v>10.597561000000001</v>
      </c>
      <c r="H13">
        <v>7.6563872999999996</v>
      </c>
      <c r="I13" t="s">
        <v>18</v>
      </c>
      <c r="J13">
        <v>4.5310000000000006</v>
      </c>
      <c r="K13">
        <v>954300032</v>
      </c>
      <c r="L13">
        <v>1.1780566033814761</v>
      </c>
      <c r="M13">
        <v>1.64</v>
      </c>
      <c r="N13">
        <v>2.2699999986634172</v>
      </c>
      <c r="O13">
        <v>26.037299915981361</v>
      </c>
    </row>
    <row r="14" spans="1:15" x14ac:dyDescent="0.25">
      <c r="A14" t="s">
        <v>19</v>
      </c>
      <c r="B14" t="s">
        <v>50</v>
      </c>
      <c r="C14" t="s">
        <v>51</v>
      </c>
      <c r="D14">
        <v>217.5299987792969</v>
      </c>
      <c r="E14" t="s">
        <v>19</v>
      </c>
      <c r="F14">
        <v>82</v>
      </c>
      <c r="G14">
        <v>25.958233</v>
      </c>
      <c r="H14">
        <v>22.448917000000002</v>
      </c>
      <c r="I14" t="s">
        <v>18</v>
      </c>
      <c r="J14">
        <v>31.643000000000001</v>
      </c>
      <c r="K14">
        <v>6832000000</v>
      </c>
      <c r="L14">
        <v>23.87725928304895</v>
      </c>
      <c r="M14">
        <v>8.3800000000000008</v>
      </c>
      <c r="N14">
        <v>9.6899996903769061</v>
      </c>
      <c r="O14">
        <v>45.649596448398249</v>
      </c>
    </row>
    <row r="15" spans="1:15" x14ac:dyDescent="0.25">
      <c r="A15" t="s">
        <v>19</v>
      </c>
      <c r="B15" t="s">
        <v>52</v>
      </c>
      <c r="C15" t="s">
        <v>53</v>
      </c>
      <c r="D15">
        <v>258.01998901367188</v>
      </c>
      <c r="E15" t="s">
        <v>19</v>
      </c>
      <c r="F15">
        <v>40</v>
      </c>
      <c r="G15">
        <v>39.212764999999997</v>
      </c>
      <c r="H15">
        <v>31.049334999999999</v>
      </c>
      <c r="I15" t="s">
        <v>18</v>
      </c>
      <c r="J15">
        <v>34.675997000000002</v>
      </c>
      <c r="K15">
        <v>99280003072</v>
      </c>
      <c r="L15">
        <v>24.296116475658661</v>
      </c>
      <c r="M15">
        <v>6.58</v>
      </c>
      <c r="N15">
        <v>8.3100004883734826</v>
      </c>
      <c r="O15">
        <v>32.486097576734899</v>
      </c>
    </row>
    <row r="16" spans="1:15" x14ac:dyDescent="0.25">
      <c r="A16" t="s">
        <v>24</v>
      </c>
      <c r="B16" t="s">
        <v>54</v>
      </c>
      <c r="C16" t="s">
        <v>55</v>
      </c>
      <c r="D16">
        <v>141.97999572753909</v>
      </c>
      <c r="E16" t="s">
        <v>27</v>
      </c>
      <c r="F16">
        <v>400</v>
      </c>
      <c r="G16">
        <v>25.861567000000001</v>
      </c>
      <c r="H16">
        <v>16.451912</v>
      </c>
      <c r="I16" t="s">
        <v>18</v>
      </c>
      <c r="J16">
        <v>18.559999999999999</v>
      </c>
      <c r="K16">
        <v>7550000128</v>
      </c>
      <c r="L16">
        <v>8.2290623763639541</v>
      </c>
      <c r="M16">
        <v>5.49</v>
      </c>
      <c r="N16">
        <v>8.6299997062675189</v>
      </c>
      <c r="O16">
        <v>21.986854867603679</v>
      </c>
    </row>
    <row r="17" spans="1:15" x14ac:dyDescent="0.25">
      <c r="A17" t="s">
        <v>56</v>
      </c>
      <c r="B17" t="s">
        <v>57</v>
      </c>
      <c r="C17" t="s">
        <v>58</v>
      </c>
      <c r="D17">
        <v>349.83999633789063</v>
      </c>
      <c r="E17" t="s">
        <v>56</v>
      </c>
      <c r="F17">
        <v>68</v>
      </c>
      <c r="G17">
        <v>34.164062000000001</v>
      </c>
      <c r="H17">
        <v>27.633492</v>
      </c>
      <c r="I17" t="s">
        <v>18</v>
      </c>
      <c r="J17">
        <v>70.031000000000006</v>
      </c>
      <c r="K17">
        <v>20060000256</v>
      </c>
      <c r="L17">
        <v>51.577407114905903</v>
      </c>
      <c r="M17">
        <v>10.24</v>
      </c>
      <c r="N17">
        <v>12.65999955191659</v>
      </c>
      <c r="O17">
        <v>22.260150034275359</v>
      </c>
    </row>
    <row r="18" spans="1:15" x14ac:dyDescent="0.25">
      <c r="A18" t="s">
        <v>19</v>
      </c>
      <c r="B18" t="s">
        <v>59</v>
      </c>
      <c r="C18" t="s">
        <v>60</v>
      </c>
      <c r="D18">
        <v>169.17999267578119</v>
      </c>
      <c r="E18" t="s">
        <v>19</v>
      </c>
      <c r="F18">
        <v>211</v>
      </c>
      <c r="G18">
        <v>16.314367000000001</v>
      </c>
      <c r="H18">
        <v>13.833197</v>
      </c>
      <c r="I18" t="s">
        <v>18</v>
      </c>
      <c r="J18">
        <v>32.066001999999997</v>
      </c>
      <c r="K18">
        <v>11573000192</v>
      </c>
      <c r="L18">
        <v>26.754051850850949</v>
      </c>
      <c r="M18">
        <v>10.37</v>
      </c>
      <c r="N18">
        <v>12.229999520413189</v>
      </c>
      <c r="O18">
        <v>36.730065097146529</v>
      </c>
    </row>
    <row r="19" spans="1:15" x14ac:dyDescent="0.25">
      <c r="A19" t="s">
        <v>24</v>
      </c>
      <c r="B19" t="s">
        <v>61</v>
      </c>
      <c r="C19" t="s">
        <v>62</v>
      </c>
      <c r="D19">
        <v>150.69000244140619</v>
      </c>
      <c r="E19" t="s">
        <v>40</v>
      </c>
      <c r="F19">
        <v>188</v>
      </c>
      <c r="G19">
        <v>29.721893000000001</v>
      </c>
      <c r="H19">
        <v>24.78454</v>
      </c>
      <c r="I19" t="s">
        <v>18</v>
      </c>
      <c r="J19">
        <v>34.901001999999998</v>
      </c>
      <c r="K19">
        <v>1432999936</v>
      </c>
      <c r="L19">
        <v>18.120890015041461</v>
      </c>
      <c r="M19">
        <v>5.07</v>
      </c>
      <c r="N19">
        <v>6.0799999693924622</v>
      </c>
      <c r="O19">
        <v>22.897536736222939</v>
      </c>
    </row>
    <row r="20" spans="1:15" x14ac:dyDescent="0.25">
      <c r="A20" t="s">
        <v>24</v>
      </c>
      <c r="B20" t="s">
        <v>63</v>
      </c>
      <c r="C20" t="s">
        <v>64</v>
      </c>
      <c r="D20">
        <v>120.870002746582</v>
      </c>
      <c r="E20" t="s">
        <v>27</v>
      </c>
      <c r="F20">
        <v>274</v>
      </c>
      <c r="G20">
        <v>11.803712000000001</v>
      </c>
      <c r="H20">
        <v>10.879389</v>
      </c>
      <c r="I20" t="s">
        <v>18</v>
      </c>
      <c r="J20">
        <v>17.756</v>
      </c>
      <c r="K20">
        <v>676000000</v>
      </c>
      <c r="L20">
        <v>9.2400221931992466</v>
      </c>
      <c r="M20">
        <v>10.24</v>
      </c>
      <c r="N20">
        <v>11.10999916875681</v>
      </c>
      <c r="O20">
        <v>24.985822353883549</v>
      </c>
    </row>
    <row r="21" spans="1:15" x14ac:dyDescent="0.25">
      <c r="A21" t="s">
        <v>24</v>
      </c>
      <c r="B21" t="s">
        <v>65</v>
      </c>
      <c r="C21" t="s">
        <v>66</v>
      </c>
      <c r="D21">
        <v>553.0999755859375</v>
      </c>
      <c r="E21" t="s">
        <v>40</v>
      </c>
      <c r="F21">
        <v>235</v>
      </c>
      <c r="G21">
        <v>25.129486</v>
      </c>
      <c r="H21">
        <v>19.013404999999999</v>
      </c>
      <c r="I21" t="s">
        <v>18</v>
      </c>
      <c r="J21">
        <v>24.829000000000001</v>
      </c>
      <c r="K21">
        <v>10981000192</v>
      </c>
      <c r="L21">
        <v>13.259515301391041</v>
      </c>
      <c r="M21">
        <v>22.01</v>
      </c>
      <c r="N21">
        <v>29.090001269416899</v>
      </c>
      <c r="O21">
        <v>31.375598560237162</v>
      </c>
    </row>
    <row r="22" spans="1:15" x14ac:dyDescent="0.25">
      <c r="A22" t="s">
        <v>19</v>
      </c>
      <c r="B22" t="s">
        <v>67</v>
      </c>
      <c r="C22" t="s">
        <v>68</v>
      </c>
      <c r="D22">
        <v>517.3499755859375</v>
      </c>
      <c r="E22" t="s">
        <v>19</v>
      </c>
      <c r="F22">
        <v>71</v>
      </c>
      <c r="G22">
        <v>37.984580000000001</v>
      </c>
      <c r="H22">
        <v>34.605350000000001</v>
      </c>
      <c r="I22" t="s">
        <v>18</v>
      </c>
      <c r="J22">
        <v>55.561000000000007</v>
      </c>
      <c r="K22">
        <v>101831999488</v>
      </c>
      <c r="L22">
        <v>36.146015822676603</v>
      </c>
      <c r="M22">
        <v>13.62</v>
      </c>
      <c r="N22">
        <v>14.9499998002025</v>
      </c>
      <c r="O22">
        <v>24.690326919534801</v>
      </c>
    </row>
    <row r="23" spans="1:15" x14ac:dyDescent="0.25">
      <c r="A23" t="s">
        <v>56</v>
      </c>
      <c r="B23" t="s">
        <v>69</v>
      </c>
      <c r="C23" t="s">
        <v>70</v>
      </c>
      <c r="D23">
        <v>580.45001220703125</v>
      </c>
      <c r="E23" t="s">
        <v>56</v>
      </c>
      <c r="F23">
        <v>53</v>
      </c>
      <c r="G23">
        <v>39.113880000000002</v>
      </c>
      <c r="H23">
        <v>35.436512</v>
      </c>
      <c r="I23" t="s">
        <v>18</v>
      </c>
      <c r="J23">
        <v>62.078000000000003</v>
      </c>
      <c r="K23">
        <v>13585999872</v>
      </c>
      <c r="L23">
        <v>44.925763469370708</v>
      </c>
      <c r="M23">
        <v>14.84</v>
      </c>
      <c r="N23">
        <v>16.379998466187391</v>
      </c>
      <c r="O23">
        <v>22.106149181362191</v>
      </c>
    </row>
    <row r="24" spans="1:15" x14ac:dyDescent="0.25">
      <c r="A24" t="s">
        <v>28</v>
      </c>
      <c r="B24" t="s">
        <v>71</v>
      </c>
      <c r="C24" t="s">
        <v>72</v>
      </c>
      <c r="D24">
        <v>114.05999755859381</v>
      </c>
      <c r="E24" t="s">
        <v>47</v>
      </c>
      <c r="F24">
        <v>328</v>
      </c>
      <c r="G24">
        <v>16.724339000000001</v>
      </c>
      <c r="H24">
        <v>19.365024999999999</v>
      </c>
      <c r="I24" t="s">
        <v>18</v>
      </c>
      <c r="J24">
        <v>41.48</v>
      </c>
      <c r="K24">
        <v>3649700096</v>
      </c>
      <c r="L24">
        <v>17.659810882037171</v>
      </c>
      <c r="M24">
        <v>6.82</v>
      </c>
      <c r="N24">
        <v>5.8900000159356241</v>
      </c>
      <c r="O24">
        <v>19.405285933639881</v>
      </c>
    </row>
    <row r="25" spans="1:15" x14ac:dyDescent="0.25">
      <c r="A25" t="s">
        <v>24</v>
      </c>
      <c r="B25" t="s">
        <v>73</v>
      </c>
      <c r="C25" t="s">
        <v>74</v>
      </c>
      <c r="D25">
        <v>102.0699996948242</v>
      </c>
      <c r="E25" t="s">
        <v>27</v>
      </c>
      <c r="F25">
        <v>92</v>
      </c>
      <c r="G25">
        <v>38.516979999999997</v>
      </c>
      <c r="H25">
        <v>37.525734</v>
      </c>
      <c r="I25" t="s">
        <v>18</v>
      </c>
      <c r="J25">
        <v>6.1859999999999999</v>
      </c>
      <c r="K25">
        <v>21344000000</v>
      </c>
      <c r="L25">
        <v>3.0792625636128559</v>
      </c>
      <c r="M25">
        <v>2.65</v>
      </c>
      <c r="N25">
        <v>2.7200000856698558</v>
      </c>
      <c r="O25">
        <v>23.934385851567399</v>
      </c>
    </row>
    <row r="26" spans="1:15" x14ac:dyDescent="0.25">
      <c r="A26" t="s">
        <v>19</v>
      </c>
      <c r="B26" t="s">
        <v>75</v>
      </c>
      <c r="C26" t="s">
        <v>76</v>
      </c>
      <c r="D26">
        <v>1032.219970703125</v>
      </c>
      <c r="E26" t="s">
        <v>19</v>
      </c>
      <c r="F26">
        <v>72</v>
      </c>
      <c r="G26">
        <v>36.564647999999998</v>
      </c>
      <c r="H26">
        <v>38.659923999999997</v>
      </c>
      <c r="I26" t="s">
        <v>18</v>
      </c>
      <c r="J26">
        <v>37.594999999999999</v>
      </c>
      <c r="K26">
        <v>9415199744</v>
      </c>
      <c r="L26">
        <v>29.273115447467571</v>
      </c>
      <c r="M26">
        <v>28.23</v>
      </c>
      <c r="N26">
        <v>26.699999997494182</v>
      </c>
      <c r="O26">
        <v>42.437232837533948</v>
      </c>
    </row>
    <row r="27" spans="1:15" x14ac:dyDescent="0.25">
      <c r="A27" t="s">
        <v>28</v>
      </c>
      <c r="B27" t="s">
        <v>77</v>
      </c>
      <c r="C27" t="s">
        <v>78</v>
      </c>
      <c r="D27">
        <v>24.14999961853027</v>
      </c>
      <c r="E27" t="s">
        <v>31</v>
      </c>
      <c r="F27" t="s">
        <v>18</v>
      </c>
      <c r="G27">
        <v>7.7903229999999999</v>
      </c>
      <c r="H27">
        <v>5.1382979999999998</v>
      </c>
      <c r="I27" t="s">
        <v>18</v>
      </c>
      <c r="J27">
        <v>22.035</v>
      </c>
      <c r="K27">
        <v>1127194951680</v>
      </c>
      <c r="L27">
        <v>5.5838348244311069</v>
      </c>
      <c r="M27">
        <v>3.1</v>
      </c>
      <c r="N27">
        <v>4.6999998089893333</v>
      </c>
      <c r="O27">
        <v>54.415901693506633</v>
      </c>
    </row>
    <row r="28" spans="1:15" x14ac:dyDescent="0.25">
      <c r="A28" t="s">
        <v>28</v>
      </c>
      <c r="B28" t="s">
        <v>79</v>
      </c>
      <c r="C28" t="s">
        <v>80</v>
      </c>
      <c r="D28">
        <v>123.5400009155273</v>
      </c>
      <c r="E28" t="s">
        <v>47</v>
      </c>
      <c r="F28">
        <v>350</v>
      </c>
      <c r="G28">
        <v>20.219313</v>
      </c>
      <c r="H28">
        <v>19.485804000000002</v>
      </c>
      <c r="I28" t="s">
        <v>18</v>
      </c>
      <c r="J28">
        <v>49.838000000000001</v>
      </c>
      <c r="K28">
        <v>4729999872</v>
      </c>
      <c r="L28">
        <v>15.33324647302905</v>
      </c>
      <c r="M28">
        <v>6.11</v>
      </c>
      <c r="N28">
        <v>6.3400001824675716</v>
      </c>
      <c r="O28">
        <v>17.977608818319961</v>
      </c>
    </row>
    <row r="29" spans="1:15" x14ac:dyDescent="0.25">
      <c r="A29" t="s">
        <v>24</v>
      </c>
      <c r="B29" t="s">
        <v>81</v>
      </c>
      <c r="C29" t="s">
        <v>82</v>
      </c>
      <c r="D29">
        <v>122.5800018310547</v>
      </c>
      <c r="E29" t="s">
        <v>27</v>
      </c>
      <c r="F29">
        <v>411.00000000000011</v>
      </c>
      <c r="G29">
        <v>16.768809999999998</v>
      </c>
      <c r="H29">
        <v>16.065529999999999</v>
      </c>
      <c r="I29" t="s">
        <v>18</v>
      </c>
      <c r="J29">
        <v>19.409001</v>
      </c>
      <c r="K29">
        <v>2449999872</v>
      </c>
      <c r="L29">
        <v>12.42519420062256</v>
      </c>
      <c r="M29">
        <v>7.31</v>
      </c>
      <c r="N29">
        <v>7.6300004936690353</v>
      </c>
      <c r="O29">
        <v>19.29301199452809</v>
      </c>
    </row>
    <row r="30" spans="1:15" x14ac:dyDescent="0.25">
      <c r="A30" t="s">
        <v>56</v>
      </c>
      <c r="B30" t="s">
        <v>83</v>
      </c>
      <c r="C30" t="s">
        <v>84</v>
      </c>
      <c r="D30">
        <v>25.780000686645511</v>
      </c>
      <c r="E30" t="s">
        <v>56</v>
      </c>
      <c r="F30">
        <v>455</v>
      </c>
      <c r="G30">
        <v>11.064379000000001</v>
      </c>
      <c r="H30">
        <v>11.771689</v>
      </c>
      <c r="I30" t="s">
        <v>18</v>
      </c>
      <c r="J30">
        <v>0</v>
      </c>
      <c r="K30">
        <v>4792999936</v>
      </c>
      <c r="L30">
        <v>24.461569062302619</v>
      </c>
      <c r="M30">
        <v>2.33</v>
      </c>
      <c r="N30">
        <v>2.1900001509252842</v>
      </c>
      <c r="O30">
        <v>26.79062883239218</v>
      </c>
    </row>
    <row r="31" spans="1:15" x14ac:dyDescent="0.25">
      <c r="A31" t="s">
        <v>19</v>
      </c>
      <c r="B31" t="s">
        <v>85</v>
      </c>
      <c r="C31" t="s">
        <v>86</v>
      </c>
      <c r="D31">
        <v>245.3500061035156</v>
      </c>
      <c r="E31" t="s">
        <v>87</v>
      </c>
      <c r="F31">
        <v>34</v>
      </c>
      <c r="G31">
        <v>26.12886</v>
      </c>
      <c r="H31">
        <v>27.382812000000001</v>
      </c>
      <c r="I31" t="s">
        <v>18</v>
      </c>
      <c r="J31">
        <v>37.921999999999997</v>
      </c>
      <c r="K31">
        <v>115572998144</v>
      </c>
      <c r="L31">
        <v>31.118284681456949</v>
      </c>
      <c r="M31">
        <v>9.39</v>
      </c>
      <c r="N31">
        <v>8.9600003865021467</v>
      </c>
      <c r="O31">
        <v>32.22432034044089</v>
      </c>
    </row>
    <row r="32" spans="1:15" x14ac:dyDescent="0.25">
      <c r="A32" t="s">
        <v>28</v>
      </c>
      <c r="B32" t="s">
        <v>88</v>
      </c>
      <c r="C32" t="s">
        <v>89</v>
      </c>
      <c r="D32">
        <v>24.54000091552734</v>
      </c>
      <c r="E32" t="s">
        <v>31</v>
      </c>
      <c r="F32">
        <v>419.00000000000011</v>
      </c>
      <c r="G32">
        <v>8.4913489999999996</v>
      </c>
      <c r="H32">
        <v>8.9236360000000001</v>
      </c>
      <c r="I32" t="s">
        <v>18</v>
      </c>
      <c r="J32">
        <v>59.68</v>
      </c>
      <c r="K32">
        <v>1080999936</v>
      </c>
      <c r="L32">
        <v>11.026110850399389</v>
      </c>
      <c r="M32">
        <v>2.89</v>
      </c>
      <c r="N32">
        <v>2.7500002146577178</v>
      </c>
      <c r="O32">
        <v>53.237945727481808</v>
      </c>
    </row>
    <row r="33" spans="1:15" x14ac:dyDescent="0.25">
      <c r="A33" t="s">
        <v>19</v>
      </c>
      <c r="B33" t="s">
        <v>90</v>
      </c>
      <c r="C33" t="s">
        <v>91</v>
      </c>
      <c r="D33">
        <v>292.19000244140619</v>
      </c>
      <c r="E33" t="s">
        <v>19</v>
      </c>
      <c r="F33">
        <v>116</v>
      </c>
      <c r="G33">
        <v>32.003284000000001</v>
      </c>
      <c r="H33">
        <v>36.162129999999998</v>
      </c>
      <c r="I33" t="s">
        <v>18</v>
      </c>
      <c r="J33">
        <v>69.115995999999996</v>
      </c>
      <c r="K33">
        <v>1444887003136</v>
      </c>
      <c r="L33">
        <v>42.481697237297887</v>
      </c>
      <c r="M33">
        <v>9.1300000000000008</v>
      </c>
      <c r="N33">
        <v>8.0799997799191114</v>
      </c>
      <c r="O33">
        <v>41.768305831468481</v>
      </c>
    </row>
    <row r="34" spans="1:15" x14ac:dyDescent="0.25">
      <c r="A34" t="s">
        <v>28</v>
      </c>
      <c r="B34" t="s">
        <v>92</v>
      </c>
      <c r="C34" t="s">
        <v>93</v>
      </c>
      <c r="D34">
        <v>45.340000152587891</v>
      </c>
      <c r="E34" t="s">
        <v>47</v>
      </c>
      <c r="F34">
        <v>356</v>
      </c>
      <c r="G34">
        <v>17.239543999999999</v>
      </c>
      <c r="H34">
        <v>17.239543999999999</v>
      </c>
      <c r="I34" t="s">
        <v>18</v>
      </c>
      <c r="J34">
        <v>32.450000000000003</v>
      </c>
      <c r="K34">
        <v>2654000128</v>
      </c>
      <c r="L34">
        <v>11.16721438560171</v>
      </c>
      <c r="M34">
        <v>2.63</v>
      </c>
      <c r="N34">
        <v>2.6299999670865941</v>
      </c>
      <c r="O34">
        <v>18.975401820636009</v>
      </c>
    </row>
    <row r="35" spans="1:15" x14ac:dyDescent="0.25">
      <c r="A35" t="s">
        <v>56</v>
      </c>
      <c r="B35" t="s">
        <v>94</v>
      </c>
      <c r="C35" t="s">
        <v>95</v>
      </c>
      <c r="D35">
        <v>52.169998168945313</v>
      </c>
      <c r="E35" t="s">
        <v>56</v>
      </c>
      <c r="F35">
        <v>2969</v>
      </c>
      <c r="G35">
        <v>7.3686438000000001</v>
      </c>
      <c r="H35">
        <v>8.8423730000000003</v>
      </c>
      <c r="I35" t="s">
        <v>18</v>
      </c>
      <c r="J35">
        <v>0</v>
      </c>
      <c r="K35">
        <v>6693464834048</v>
      </c>
      <c r="L35">
        <v>28.374014670386579</v>
      </c>
      <c r="M35">
        <v>7.08</v>
      </c>
      <c r="N35">
        <v>5.8999997137584348</v>
      </c>
      <c r="O35">
        <v>31.132651005275982</v>
      </c>
    </row>
    <row r="36" spans="1:15" x14ac:dyDescent="0.25">
      <c r="A36" t="s">
        <v>24</v>
      </c>
      <c r="B36" t="s">
        <v>96</v>
      </c>
      <c r="C36" t="s">
        <v>97</v>
      </c>
      <c r="D36">
        <v>65.730003356933594</v>
      </c>
      <c r="E36" t="s">
        <v>27</v>
      </c>
      <c r="F36">
        <v>645</v>
      </c>
      <c r="G36">
        <v>12.713734000000001</v>
      </c>
      <c r="H36">
        <v>12.285982000000001</v>
      </c>
      <c r="I36" t="s">
        <v>18</v>
      </c>
      <c r="J36">
        <v>62.061</v>
      </c>
      <c r="K36">
        <v>8762999808</v>
      </c>
      <c r="L36">
        <v>43.25484806547454</v>
      </c>
      <c r="M36">
        <v>5.17</v>
      </c>
      <c r="N36">
        <v>5.3499999720765983</v>
      </c>
      <c r="O36">
        <v>19.61554785080855</v>
      </c>
    </row>
    <row r="37" spans="1:15" x14ac:dyDescent="0.25">
      <c r="A37" t="s">
        <v>56</v>
      </c>
      <c r="B37" t="s">
        <v>98</v>
      </c>
      <c r="C37" t="s">
        <v>99</v>
      </c>
      <c r="D37">
        <v>16.420000076293949</v>
      </c>
      <c r="E37" t="s">
        <v>56</v>
      </c>
      <c r="F37">
        <v>445</v>
      </c>
      <c r="G37">
        <v>9.3295460000000006</v>
      </c>
      <c r="H37">
        <v>17.468084000000001</v>
      </c>
      <c r="I37" t="s">
        <v>18</v>
      </c>
      <c r="J37">
        <v>0</v>
      </c>
      <c r="K37">
        <v>10119000064</v>
      </c>
      <c r="L37">
        <v>32.249736812063553</v>
      </c>
      <c r="M37">
        <v>1.76</v>
      </c>
      <c r="N37">
        <v>0.94000006390477309</v>
      </c>
      <c r="O37">
        <v>30.41743922682182</v>
      </c>
    </row>
    <row r="38" spans="1:15" x14ac:dyDescent="0.25">
      <c r="A38" t="s">
        <v>56</v>
      </c>
      <c r="B38" t="s">
        <v>100</v>
      </c>
      <c r="C38" t="s">
        <v>101</v>
      </c>
      <c r="D38">
        <v>20.969999313354489</v>
      </c>
      <c r="E38" t="s">
        <v>56</v>
      </c>
      <c r="F38">
        <v>217</v>
      </c>
      <c r="G38">
        <v>9.6192659999999997</v>
      </c>
      <c r="H38">
        <v>19.971428</v>
      </c>
      <c r="I38" t="s">
        <v>18</v>
      </c>
      <c r="J38">
        <v>0</v>
      </c>
      <c r="K38">
        <v>6051999744</v>
      </c>
      <c r="L38">
        <v>23.59086237853322</v>
      </c>
      <c r="M38">
        <v>2.1800000000000002</v>
      </c>
      <c r="N38">
        <v>1.0499999956615269</v>
      </c>
      <c r="O38">
        <v>33.601531654202013</v>
      </c>
    </row>
    <row r="39" spans="1:15" x14ac:dyDescent="0.25">
      <c r="A39" t="s">
        <v>56</v>
      </c>
      <c r="B39" t="s">
        <v>102</v>
      </c>
      <c r="C39" t="s">
        <v>103</v>
      </c>
      <c r="D39">
        <v>16.54000091552734</v>
      </c>
      <c r="E39" t="s">
        <v>56</v>
      </c>
      <c r="F39">
        <v>301</v>
      </c>
      <c r="G39">
        <v>13.447155</v>
      </c>
      <c r="H39">
        <v>40.341464999999999</v>
      </c>
      <c r="I39" t="s">
        <v>18</v>
      </c>
      <c r="J39">
        <v>0</v>
      </c>
      <c r="K39">
        <v>483675013120</v>
      </c>
      <c r="L39">
        <v>14.45341900173403</v>
      </c>
      <c r="M39">
        <v>1.23</v>
      </c>
      <c r="N39">
        <v>0.41000000658199559</v>
      </c>
      <c r="O39">
        <v>31.903673305891051</v>
      </c>
    </row>
    <row r="40" spans="1:15" x14ac:dyDescent="0.25">
      <c r="A40" t="s">
        <v>104</v>
      </c>
      <c r="D40" t="s">
        <v>105</v>
      </c>
      <c r="E40" t="s">
        <v>37</v>
      </c>
      <c r="F40">
        <v>0</v>
      </c>
      <c r="G40" t="s">
        <v>18</v>
      </c>
      <c r="H40" t="s">
        <v>18</v>
      </c>
      <c r="I40" t="s">
        <v>18</v>
      </c>
      <c r="J40" t="s">
        <v>18</v>
      </c>
      <c r="K40" t="s">
        <v>18</v>
      </c>
      <c r="L40" t="s">
        <v>18</v>
      </c>
      <c r="M40" t="s">
        <v>18</v>
      </c>
      <c r="N40" t="s">
        <v>18</v>
      </c>
      <c r="O40" t="s">
        <v>18</v>
      </c>
    </row>
    <row r="41" spans="1:15" x14ac:dyDescent="0.25">
      <c r="A41" t="s">
        <v>106</v>
      </c>
      <c r="B41" t="s">
        <v>107</v>
      </c>
      <c r="C41" t="s">
        <v>107</v>
      </c>
      <c r="D41">
        <v>16.64999961853027</v>
      </c>
      <c r="E41" t="s">
        <v>37</v>
      </c>
      <c r="F41" t="s">
        <v>18</v>
      </c>
      <c r="G41" t="s">
        <v>18</v>
      </c>
      <c r="H41" t="s">
        <v>18</v>
      </c>
      <c r="I41" t="s">
        <v>18</v>
      </c>
      <c r="J41" t="s">
        <v>18</v>
      </c>
      <c r="K41" t="s">
        <v>18</v>
      </c>
      <c r="L41" t="s">
        <v>18</v>
      </c>
      <c r="M41" t="s">
        <v>18</v>
      </c>
      <c r="O41">
        <f>D41</f>
        <v>16.64999961853027</v>
      </c>
    </row>
    <row r="42" spans="1:15" x14ac:dyDescent="0.25">
      <c r="A42" t="s">
        <v>19</v>
      </c>
      <c r="B42" t="s">
        <v>108</v>
      </c>
      <c r="C42" t="s">
        <v>109</v>
      </c>
      <c r="D42">
        <v>3.5999999046325679</v>
      </c>
      <c r="E42" t="s">
        <v>19</v>
      </c>
      <c r="F42" t="s">
        <v>18</v>
      </c>
      <c r="G42">
        <v>0.10386612000000001</v>
      </c>
      <c r="H42">
        <v>-0.65217389999999997</v>
      </c>
      <c r="I42" t="s">
        <v>18</v>
      </c>
      <c r="J42">
        <v>-208.685</v>
      </c>
      <c r="K42">
        <v>-611273984</v>
      </c>
      <c r="L42">
        <v>-346.49970183772263</v>
      </c>
      <c r="M42">
        <v>34.659999999999997</v>
      </c>
      <c r="N42">
        <v>-5.519999964169938</v>
      </c>
      <c r="O42">
        <v>120.53186757615789</v>
      </c>
    </row>
    <row r="43" spans="1:15" x14ac:dyDescent="0.25">
      <c r="A43" t="s">
        <v>34</v>
      </c>
      <c r="B43" t="s">
        <v>110</v>
      </c>
      <c r="C43" t="s">
        <v>111</v>
      </c>
      <c r="D43">
        <v>18.378999710083011</v>
      </c>
      <c r="E43" t="s">
        <v>37</v>
      </c>
      <c r="F43" t="s">
        <v>18</v>
      </c>
      <c r="G43" t="s">
        <v>18</v>
      </c>
      <c r="H43" t="s">
        <v>18</v>
      </c>
      <c r="I43" t="s">
        <v>18</v>
      </c>
      <c r="J43" t="s">
        <v>18</v>
      </c>
      <c r="K43" t="s">
        <v>18</v>
      </c>
      <c r="L43" t="s">
        <v>18</v>
      </c>
      <c r="M43" t="s">
        <v>18</v>
      </c>
      <c r="O43">
        <v>11.09072139224987</v>
      </c>
    </row>
    <row r="44" spans="1:15" x14ac:dyDescent="0.25">
      <c r="A44" t="s">
        <v>112</v>
      </c>
      <c r="B44" t="s">
        <v>113</v>
      </c>
      <c r="C44" t="s">
        <v>114</v>
      </c>
      <c r="D44">
        <v>6.25</v>
      </c>
      <c r="E44" t="s">
        <v>37</v>
      </c>
      <c r="F44">
        <v>0</v>
      </c>
      <c r="G44" t="s">
        <v>18</v>
      </c>
      <c r="H44" t="s">
        <v>18</v>
      </c>
      <c r="I44" t="s">
        <v>18</v>
      </c>
      <c r="J44" t="s">
        <v>18</v>
      </c>
      <c r="K44" t="s">
        <v>18</v>
      </c>
      <c r="L44" t="s">
        <v>18</v>
      </c>
      <c r="M44" t="s">
        <v>18</v>
      </c>
      <c r="O44">
        <v>2.5517368786002761</v>
      </c>
    </row>
    <row r="45" spans="1:15" x14ac:dyDescent="0.25">
      <c r="A45" t="s">
        <v>112</v>
      </c>
      <c r="B45" t="s">
        <v>115</v>
      </c>
      <c r="C45" t="s">
        <v>116</v>
      </c>
      <c r="D45">
        <v>6.3625001907348633</v>
      </c>
      <c r="E45" t="s">
        <v>37</v>
      </c>
      <c r="F45">
        <v>0</v>
      </c>
      <c r="G45" t="s">
        <v>18</v>
      </c>
      <c r="H45" t="s">
        <v>18</v>
      </c>
      <c r="I45" t="s">
        <v>18</v>
      </c>
      <c r="J45" t="s">
        <v>18</v>
      </c>
      <c r="K45" t="s">
        <v>18</v>
      </c>
      <c r="L45" t="s">
        <v>18</v>
      </c>
      <c r="M45" t="s">
        <v>18</v>
      </c>
      <c r="O45">
        <v>2.5749247327759219</v>
      </c>
    </row>
    <row r="46" spans="1:15" x14ac:dyDescent="0.25">
      <c r="A46" t="s">
        <v>112</v>
      </c>
      <c r="B46" t="s">
        <v>117</v>
      </c>
      <c r="C46" t="s">
        <v>118</v>
      </c>
      <c r="D46">
        <v>78.777198791503906</v>
      </c>
      <c r="E46" t="s">
        <v>37</v>
      </c>
      <c r="F46">
        <v>292</v>
      </c>
      <c r="G46">
        <v>16.151917999999998</v>
      </c>
      <c r="H46" t="s">
        <v>18</v>
      </c>
      <c r="I46" t="s">
        <v>18</v>
      </c>
      <c r="J46" t="s">
        <v>18</v>
      </c>
      <c r="K46" t="s">
        <v>18</v>
      </c>
      <c r="L46" t="s">
        <v>18</v>
      </c>
      <c r="M46" t="s">
        <v>18</v>
      </c>
      <c r="O46">
        <v>13.21178277320664</v>
      </c>
    </row>
    <row r="47" spans="1:15" x14ac:dyDescent="0.25">
      <c r="A47" t="s">
        <v>112</v>
      </c>
      <c r="B47" t="s">
        <v>119</v>
      </c>
      <c r="C47" t="s">
        <v>120</v>
      </c>
      <c r="D47">
        <v>54.790000915527337</v>
      </c>
      <c r="E47" t="s">
        <v>37</v>
      </c>
      <c r="F47">
        <v>284</v>
      </c>
      <c r="G47">
        <v>16.469926999999998</v>
      </c>
      <c r="H47" t="s">
        <v>18</v>
      </c>
      <c r="I47" t="s">
        <v>18</v>
      </c>
      <c r="J47" t="s">
        <v>18</v>
      </c>
      <c r="K47" t="s">
        <v>18</v>
      </c>
      <c r="L47" t="s">
        <v>18</v>
      </c>
      <c r="M47" t="s">
        <v>18</v>
      </c>
      <c r="O47">
        <v>16.95889722836484</v>
      </c>
    </row>
    <row r="48" spans="1:15" x14ac:dyDescent="0.25">
      <c r="A48" t="s">
        <v>121</v>
      </c>
      <c r="B48" t="s">
        <v>122</v>
      </c>
      <c r="C48" t="s">
        <v>123</v>
      </c>
      <c r="D48">
        <v>43.110000610351563</v>
      </c>
      <c r="E48" t="s">
        <v>121</v>
      </c>
      <c r="F48">
        <v>613</v>
      </c>
      <c r="G48">
        <v>25.814373</v>
      </c>
      <c r="H48">
        <v>10.831657999999999</v>
      </c>
      <c r="I48" t="s">
        <v>18</v>
      </c>
      <c r="J48">
        <v>28.666001999999999</v>
      </c>
      <c r="K48">
        <v>477508992</v>
      </c>
      <c r="L48">
        <v>11.288804576358791</v>
      </c>
      <c r="M48">
        <v>1.67</v>
      </c>
      <c r="N48">
        <v>3.9800001634423432</v>
      </c>
      <c r="O48">
        <v>45.500533539364973</v>
      </c>
    </row>
    <row r="49" spans="1:15" x14ac:dyDescent="0.25">
      <c r="A49" t="s">
        <v>106</v>
      </c>
      <c r="B49" t="s">
        <v>124</v>
      </c>
      <c r="C49" t="s">
        <v>125</v>
      </c>
      <c r="D49">
        <v>669.21002197265625</v>
      </c>
      <c r="E49" t="s">
        <v>37</v>
      </c>
      <c r="F49">
        <v>109</v>
      </c>
      <c r="G49">
        <v>28.257339999999999</v>
      </c>
      <c r="H49" t="s">
        <v>18</v>
      </c>
      <c r="I49" t="s">
        <v>18</v>
      </c>
      <c r="J49" t="s">
        <v>18</v>
      </c>
      <c r="K49" t="s">
        <v>18</v>
      </c>
      <c r="L49" t="s">
        <v>18</v>
      </c>
      <c r="M49" t="s">
        <v>18</v>
      </c>
      <c r="O49">
        <v>19.483693057606839</v>
      </c>
    </row>
    <row r="50" spans="1:15" x14ac:dyDescent="0.25">
      <c r="A50" t="s">
        <v>112</v>
      </c>
      <c r="B50" t="s">
        <v>126</v>
      </c>
      <c r="C50" t="s">
        <v>127</v>
      </c>
      <c r="D50">
        <v>55</v>
      </c>
      <c r="E50" t="s">
        <v>37</v>
      </c>
      <c r="F50" t="s">
        <v>18</v>
      </c>
      <c r="G50" t="s">
        <v>18</v>
      </c>
      <c r="H50" t="s">
        <v>18</v>
      </c>
      <c r="I50" t="s">
        <v>18</v>
      </c>
      <c r="J50" t="s">
        <v>18</v>
      </c>
      <c r="K50" t="s">
        <v>18</v>
      </c>
      <c r="L50" t="s">
        <v>18</v>
      </c>
      <c r="M50" t="s">
        <v>18</v>
      </c>
      <c r="O50">
        <v>49.588158270869847</v>
      </c>
    </row>
    <row r="51" spans="1:15" x14ac:dyDescent="0.25">
      <c r="A51" t="s">
        <v>112</v>
      </c>
      <c r="B51" t="s">
        <v>128</v>
      </c>
      <c r="C51" t="s">
        <v>129</v>
      </c>
      <c r="D51">
        <v>21.76869964599609</v>
      </c>
      <c r="E51" t="s">
        <v>37</v>
      </c>
      <c r="F51" t="s">
        <v>18</v>
      </c>
      <c r="G51" t="s">
        <v>18</v>
      </c>
      <c r="H51" t="s">
        <v>18</v>
      </c>
      <c r="I51" t="s">
        <v>18</v>
      </c>
      <c r="J51" t="s">
        <v>18</v>
      </c>
      <c r="K51" t="s">
        <v>18</v>
      </c>
      <c r="L51" t="s">
        <v>18</v>
      </c>
      <c r="M51" t="s">
        <v>18</v>
      </c>
      <c r="O51">
        <v>24.677797559550829</v>
      </c>
    </row>
    <row r="52" spans="1:15" x14ac:dyDescent="0.25">
      <c r="A52" t="s">
        <v>34</v>
      </c>
      <c r="B52" t="s">
        <v>130</v>
      </c>
      <c r="C52" t="s">
        <v>131</v>
      </c>
      <c r="D52">
        <v>147.39900207519531</v>
      </c>
      <c r="E52" t="s">
        <v>37</v>
      </c>
      <c r="F52" t="s">
        <v>18</v>
      </c>
      <c r="G52" t="s">
        <v>18</v>
      </c>
      <c r="H52" t="s">
        <v>18</v>
      </c>
      <c r="I52" t="s">
        <v>18</v>
      </c>
      <c r="J52" t="s">
        <v>18</v>
      </c>
      <c r="K52" t="s">
        <v>18</v>
      </c>
      <c r="L52" t="s">
        <v>18</v>
      </c>
      <c r="M52" t="s">
        <v>18</v>
      </c>
      <c r="O52">
        <v>10.190790633492661</v>
      </c>
    </row>
    <row r="53" spans="1:15" x14ac:dyDescent="0.25">
      <c r="A53" t="s">
        <v>34</v>
      </c>
      <c r="C53" t="s">
        <v>132</v>
      </c>
      <c r="D53" t="s">
        <v>133</v>
      </c>
      <c r="E53" t="s">
        <v>37</v>
      </c>
      <c r="F53">
        <v>0</v>
      </c>
      <c r="G53" t="s">
        <v>18</v>
      </c>
      <c r="H53" t="s">
        <v>18</v>
      </c>
      <c r="I53" t="s">
        <v>18</v>
      </c>
      <c r="J53" t="s">
        <v>18</v>
      </c>
      <c r="K53" t="s">
        <v>18</v>
      </c>
      <c r="L53" t="s">
        <v>18</v>
      </c>
      <c r="M53" t="s">
        <v>18</v>
      </c>
      <c r="N53" t="s">
        <v>18</v>
      </c>
      <c r="O53" t="s">
        <v>18</v>
      </c>
    </row>
    <row r="54" spans="1:15" x14ac:dyDescent="0.25">
      <c r="A54" t="s">
        <v>112</v>
      </c>
      <c r="B54" t="s">
        <v>134</v>
      </c>
      <c r="C54" t="s">
        <v>135</v>
      </c>
      <c r="D54">
        <v>24.032609939575199</v>
      </c>
      <c r="E54" t="s">
        <v>37</v>
      </c>
      <c r="F54">
        <v>0</v>
      </c>
      <c r="G54">
        <v>36.514502999999998</v>
      </c>
      <c r="H54" t="s">
        <v>18</v>
      </c>
      <c r="I54" t="s">
        <v>18</v>
      </c>
      <c r="J54" t="s">
        <v>18</v>
      </c>
      <c r="K54" t="s">
        <v>18</v>
      </c>
      <c r="L54" t="s">
        <v>18</v>
      </c>
      <c r="M54" t="s">
        <v>18</v>
      </c>
      <c r="O54">
        <v>25.185611691253321</v>
      </c>
    </row>
    <row r="55" spans="1:15" x14ac:dyDescent="0.25">
      <c r="A55" t="s">
        <v>112</v>
      </c>
      <c r="B55" t="s">
        <v>136</v>
      </c>
      <c r="C55" t="s">
        <v>137</v>
      </c>
      <c r="D55">
        <v>74.30999755859375</v>
      </c>
      <c r="E55" t="s">
        <v>37</v>
      </c>
      <c r="F55">
        <v>376</v>
      </c>
      <c r="G55" t="s">
        <v>18</v>
      </c>
      <c r="H55" t="s">
        <v>18</v>
      </c>
      <c r="I55" t="s">
        <v>18</v>
      </c>
      <c r="J55" t="s">
        <v>18</v>
      </c>
      <c r="K55" t="s">
        <v>18</v>
      </c>
      <c r="L55" t="s">
        <v>18</v>
      </c>
      <c r="M55" t="s">
        <v>18</v>
      </c>
      <c r="O55">
        <v>4.919121755807625</v>
      </c>
    </row>
    <row r="56" spans="1:15" x14ac:dyDescent="0.25">
      <c r="A56" t="s">
        <v>104</v>
      </c>
      <c r="C56" t="s">
        <v>138</v>
      </c>
      <c r="D56" t="s">
        <v>133</v>
      </c>
      <c r="E56" t="s">
        <v>37</v>
      </c>
      <c r="F56">
        <v>0</v>
      </c>
      <c r="G56" t="s">
        <v>18</v>
      </c>
      <c r="H56" t="s">
        <v>18</v>
      </c>
      <c r="I56" t="s">
        <v>18</v>
      </c>
      <c r="J56" t="s">
        <v>18</v>
      </c>
      <c r="K56" t="s">
        <v>18</v>
      </c>
      <c r="L56" t="s">
        <v>18</v>
      </c>
      <c r="M56" t="s">
        <v>18</v>
      </c>
      <c r="N56" t="s">
        <v>18</v>
      </c>
      <c r="O56" t="s">
        <v>18</v>
      </c>
    </row>
    <row r="57" spans="1:15" x14ac:dyDescent="0.25">
      <c r="A57" t="s">
        <v>15</v>
      </c>
      <c r="B57" t="s">
        <v>139</v>
      </c>
      <c r="C57" t="s">
        <v>140</v>
      </c>
      <c r="D57">
        <v>429.54000854492188</v>
      </c>
      <c r="E57" t="s">
        <v>15</v>
      </c>
      <c r="F57">
        <v>67</v>
      </c>
      <c r="G57">
        <v>18.040320000000001</v>
      </c>
      <c r="H57">
        <v>17.496538000000001</v>
      </c>
      <c r="I57" t="s">
        <v>18</v>
      </c>
      <c r="J57">
        <v>19.943999999999999</v>
      </c>
      <c r="K57">
        <v>5970999808</v>
      </c>
      <c r="L57">
        <v>8.213430251373973</v>
      </c>
      <c r="M57">
        <v>23.81</v>
      </c>
      <c r="N57">
        <v>24.55000003685997</v>
      </c>
      <c r="O57">
        <v>28.408242354501422</v>
      </c>
    </row>
    <row r="58" spans="1:15" x14ac:dyDescent="0.25">
      <c r="A58" t="s">
        <v>141</v>
      </c>
      <c r="B58" t="s">
        <v>142</v>
      </c>
      <c r="C58" t="s">
        <v>143</v>
      </c>
      <c r="D58">
        <v>158.6600036621094</v>
      </c>
      <c r="E58" t="s">
        <v>141</v>
      </c>
      <c r="F58">
        <v>184</v>
      </c>
      <c r="G58">
        <v>22.066759999999999</v>
      </c>
      <c r="H58">
        <v>20.083544</v>
      </c>
      <c r="I58" t="s">
        <v>18</v>
      </c>
      <c r="J58">
        <v>23.555</v>
      </c>
      <c r="K58">
        <v>3939000064</v>
      </c>
      <c r="L58">
        <v>16.010894099950089</v>
      </c>
      <c r="M58">
        <v>7.19</v>
      </c>
      <c r="N58">
        <v>7.9000003018446039</v>
      </c>
      <c r="O58">
        <v>29.159381406487221</v>
      </c>
    </row>
    <row r="59" spans="1:15" x14ac:dyDescent="0.25">
      <c r="A59" t="s">
        <v>19</v>
      </c>
      <c r="B59" t="s">
        <v>144</v>
      </c>
      <c r="C59" t="s">
        <v>145</v>
      </c>
      <c r="D59">
        <v>173.07000732421881</v>
      </c>
      <c r="E59" t="s">
        <v>19</v>
      </c>
      <c r="F59" t="s">
        <v>18</v>
      </c>
      <c r="G59">
        <v>576.9</v>
      </c>
      <c r="H59">
        <v>368.23406999999997</v>
      </c>
      <c r="I59" t="s">
        <v>18</v>
      </c>
      <c r="J59">
        <v>17.375</v>
      </c>
      <c r="K59">
        <v>763292032</v>
      </c>
      <c r="L59">
        <v>22.184936181680779</v>
      </c>
      <c r="M59">
        <v>0.3</v>
      </c>
      <c r="N59">
        <v>0.46999998485805172</v>
      </c>
      <c r="O59">
        <v>71.923728998074694</v>
      </c>
    </row>
    <row r="60" spans="1:15" x14ac:dyDescent="0.25">
      <c r="A60" t="s">
        <v>24</v>
      </c>
      <c r="B60" t="s">
        <v>146</v>
      </c>
      <c r="C60" t="s">
        <v>147</v>
      </c>
      <c r="D60">
        <v>87.980003356933594</v>
      </c>
      <c r="E60" t="s">
        <v>40</v>
      </c>
      <c r="F60" t="s">
        <v>18</v>
      </c>
      <c r="G60">
        <v>19.904978</v>
      </c>
      <c r="H60">
        <v>12.604585</v>
      </c>
      <c r="I60" t="s">
        <v>18</v>
      </c>
      <c r="J60">
        <v>15.827999999999999</v>
      </c>
      <c r="K60">
        <v>1013000000</v>
      </c>
      <c r="L60">
        <v>5.1177124712067892</v>
      </c>
      <c r="M60">
        <v>4.42</v>
      </c>
      <c r="N60">
        <v>6.9800000045168957</v>
      </c>
      <c r="O60">
        <v>38.942832409886407</v>
      </c>
    </row>
    <row r="61" spans="1:15" x14ac:dyDescent="0.25">
      <c r="A61" t="s">
        <v>24</v>
      </c>
      <c r="B61" t="s">
        <v>148</v>
      </c>
      <c r="C61" t="s">
        <v>149</v>
      </c>
      <c r="D61">
        <v>42.310001373291023</v>
      </c>
      <c r="E61" t="s">
        <v>40</v>
      </c>
      <c r="F61">
        <v>224</v>
      </c>
      <c r="G61">
        <v>17.483470000000001</v>
      </c>
      <c r="H61">
        <v>16.399225000000001</v>
      </c>
      <c r="I61" t="s">
        <v>18</v>
      </c>
      <c r="J61">
        <v>15.113</v>
      </c>
      <c r="K61">
        <v>919000000</v>
      </c>
      <c r="L61">
        <v>8.0374319497661482</v>
      </c>
      <c r="M61">
        <v>2.42</v>
      </c>
      <c r="N61">
        <v>2.5800000532519678</v>
      </c>
      <c r="O61">
        <v>35.668707201610793</v>
      </c>
    </row>
    <row r="62" spans="1:15" x14ac:dyDescent="0.25">
      <c r="A62" t="s">
        <v>28</v>
      </c>
      <c r="B62" t="s">
        <v>150</v>
      </c>
      <c r="C62" t="s">
        <v>151</v>
      </c>
      <c r="D62">
        <v>15.89999961853027</v>
      </c>
      <c r="E62" t="s">
        <v>47</v>
      </c>
      <c r="F62">
        <v>64</v>
      </c>
      <c r="G62">
        <v>14.722220999999999</v>
      </c>
      <c r="H62">
        <v>10.743243</v>
      </c>
      <c r="I62" t="s">
        <v>18</v>
      </c>
      <c r="J62">
        <v>38.534999999999997</v>
      </c>
      <c r="K62">
        <v>2351000064</v>
      </c>
      <c r="L62">
        <v>9.614362834791228</v>
      </c>
      <c r="M62">
        <v>1.08</v>
      </c>
      <c r="N62">
        <v>1.4799999980015599</v>
      </c>
      <c r="O62">
        <v>30.53707962966239</v>
      </c>
    </row>
    <row r="63" spans="1:15" x14ac:dyDescent="0.25">
      <c r="A63" t="s">
        <v>19</v>
      </c>
      <c r="B63" t="s">
        <v>152</v>
      </c>
      <c r="C63" t="s">
        <v>153</v>
      </c>
      <c r="D63">
        <v>24.739999771118161</v>
      </c>
      <c r="E63" t="s">
        <v>19</v>
      </c>
      <c r="F63">
        <v>515</v>
      </c>
      <c r="G63" t="s">
        <v>18</v>
      </c>
      <c r="H63">
        <v>12.818652999999999</v>
      </c>
      <c r="I63" t="s">
        <v>18</v>
      </c>
      <c r="J63">
        <v>3.5609999999999999</v>
      </c>
      <c r="K63">
        <v>-1873734016</v>
      </c>
      <c r="L63">
        <v>-2.255997845024639</v>
      </c>
      <c r="M63">
        <v>-5.0599999999999996</v>
      </c>
      <c r="N63">
        <v>1.9299999595213451</v>
      </c>
      <c r="O63">
        <v>68.475270792358984</v>
      </c>
    </row>
    <row r="64" spans="1:15" x14ac:dyDescent="0.25">
      <c r="A64" t="s">
        <v>28</v>
      </c>
      <c r="C64" t="s">
        <v>154</v>
      </c>
      <c r="D64" t="s">
        <v>133</v>
      </c>
      <c r="E64" t="s">
        <v>37</v>
      </c>
      <c r="F64">
        <v>0</v>
      </c>
      <c r="G64" t="s">
        <v>18</v>
      </c>
      <c r="H64" t="s">
        <v>18</v>
      </c>
      <c r="I64" t="s">
        <v>18</v>
      </c>
      <c r="J64" t="s">
        <v>18</v>
      </c>
      <c r="K64" t="s">
        <v>18</v>
      </c>
      <c r="L64" t="s">
        <v>18</v>
      </c>
      <c r="M64" t="s">
        <v>18</v>
      </c>
      <c r="N64" t="s">
        <v>18</v>
      </c>
      <c r="O64" t="s">
        <v>18</v>
      </c>
    </row>
    <row r="65" spans="1:15" x14ac:dyDescent="0.25">
      <c r="A65" t="s">
        <v>19</v>
      </c>
      <c r="B65" t="s">
        <v>155</v>
      </c>
      <c r="C65" t="s">
        <v>156</v>
      </c>
      <c r="D65">
        <v>15.19999980926514</v>
      </c>
      <c r="E65" t="s">
        <v>19</v>
      </c>
      <c r="F65" t="s">
        <v>18</v>
      </c>
      <c r="G65" t="s">
        <v>18</v>
      </c>
      <c r="H65">
        <v>5.2595153000000003</v>
      </c>
      <c r="I65" t="s">
        <v>18</v>
      </c>
      <c r="J65">
        <v>10.5349995</v>
      </c>
      <c r="K65">
        <v>-6897000</v>
      </c>
      <c r="L65">
        <v>-0.1165159545436775</v>
      </c>
      <c r="M65">
        <v>-0.44</v>
      </c>
      <c r="N65">
        <v>2.8900001126083108</v>
      </c>
      <c r="O65">
        <v>84.518646415726963</v>
      </c>
    </row>
    <row r="66" spans="1:15" x14ac:dyDescent="0.25">
      <c r="A66" t="s">
        <v>56</v>
      </c>
      <c r="B66" t="s">
        <v>157</v>
      </c>
      <c r="C66" t="s">
        <v>158</v>
      </c>
      <c r="D66">
        <v>97.739997863769531</v>
      </c>
      <c r="E66" t="s">
        <v>56</v>
      </c>
      <c r="F66">
        <v>247</v>
      </c>
      <c r="G66">
        <v>14.437222500000001</v>
      </c>
      <c r="H66">
        <v>13.59388</v>
      </c>
      <c r="I66" t="s">
        <v>18</v>
      </c>
      <c r="J66">
        <v>0</v>
      </c>
      <c r="K66">
        <v>12903999488</v>
      </c>
      <c r="L66">
        <v>17.719188154565511</v>
      </c>
      <c r="M66">
        <v>6.77</v>
      </c>
      <c r="N66">
        <v>7.1900000488285558</v>
      </c>
      <c r="O66">
        <v>32.570343100914137</v>
      </c>
    </row>
    <row r="67" spans="1:15" x14ac:dyDescent="0.25">
      <c r="A67" t="s">
        <v>56</v>
      </c>
      <c r="B67" t="s">
        <v>159</v>
      </c>
      <c r="C67" t="s">
        <v>160</v>
      </c>
      <c r="D67">
        <v>266.19000244140619</v>
      </c>
      <c r="E67" t="s">
        <v>56</v>
      </c>
      <c r="F67">
        <v>425</v>
      </c>
      <c r="G67">
        <v>12.0995455</v>
      </c>
      <c r="H67">
        <v>12.871857</v>
      </c>
      <c r="I67" t="s">
        <v>18</v>
      </c>
      <c r="J67">
        <v>0</v>
      </c>
      <c r="K67">
        <v>6250212864</v>
      </c>
      <c r="L67">
        <v>31.664206319702409</v>
      </c>
      <c r="M67">
        <v>22</v>
      </c>
      <c r="N67">
        <v>20.679999975248808</v>
      </c>
      <c r="O67">
        <v>23.182477660670791</v>
      </c>
    </row>
    <row r="68" spans="1:15" x14ac:dyDescent="0.25">
      <c r="A68" t="s">
        <v>56</v>
      </c>
      <c r="B68" t="s">
        <v>161</v>
      </c>
      <c r="C68" t="s">
        <v>162</v>
      </c>
      <c r="D68">
        <v>380.01998901367188</v>
      </c>
      <c r="E68" t="s">
        <v>56</v>
      </c>
      <c r="F68" t="s">
        <v>18</v>
      </c>
      <c r="G68">
        <v>36.610790000000001</v>
      </c>
      <c r="H68">
        <v>106.44817999999999</v>
      </c>
      <c r="I68" t="s">
        <v>18</v>
      </c>
      <c r="J68">
        <v>30.122</v>
      </c>
      <c r="K68">
        <v>2860652032</v>
      </c>
      <c r="L68">
        <v>42.657831451507121</v>
      </c>
      <c r="M68">
        <v>10.38</v>
      </c>
      <c r="N68">
        <v>3.5699998723667412</v>
      </c>
      <c r="O68">
        <v>85.354734621620125</v>
      </c>
    </row>
    <row r="69" spans="1:15" x14ac:dyDescent="0.25">
      <c r="A69" t="s">
        <v>24</v>
      </c>
      <c r="B69" t="s">
        <v>163</v>
      </c>
      <c r="C69" t="s">
        <v>164</v>
      </c>
      <c r="D69">
        <v>50.360000610351563</v>
      </c>
      <c r="E69" t="s">
        <v>27</v>
      </c>
      <c r="F69">
        <v>484.99999999999989</v>
      </c>
      <c r="G69">
        <v>9.5198490000000007</v>
      </c>
      <c r="H69">
        <v>10.714893999999999</v>
      </c>
      <c r="I69" t="s">
        <v>18</v>
      </c>
      <c r="J69">
        <v>19.626999999999999</v>
      </c>
      <c r="K69">
        <v>2908999936</v>
      </c>
      <c r="L69">
        <v>15.1858416129293</v>
      </c>
      <c r="M69">
        <v>5.29</v>
      </c>
      <c r="N69">
        <v>4.6999998889724486</v>
      </c>
      <c r="O69">
        <v>22.2556559850306</v>
      </c>
    </row>
    <row r="70" spans="1:15" x14ac:dyDescent="0.25">
      <c r="A70" t="s">
        <v>112</v>
      </c>
      <c r="B70" t="s">
        <v>165</v>
      </c>
      <c r="C70" t="s">
        <v>166</v>
      </c>
      <c r="D70">
        <v>43.520000457763672</v>
      </c>
      <c r="E70" t="s">
        <v>37</v>
      </c>
      <c r="F70">
        <v>0</v>
      </c>
      <c r="G70" t="s">
        <v>18</v>
      </c>
      <c r="H70" t="s">
        <v>18</v>
      </c>
      <c r="I70" t="s">
        <v>18</v>
      </c>
      <c r="J70" t="s">
        <v>18</v>
      </c>
      <c r="K70" t="s">
        <v>18</v>
      </c>
      <c r="L70" t="s">
        <v>18</v>
      </c>
      <c r="M70" t="s">
        <v>18</v>
      </c>
      <c r="O70">
        <v>26.013000420518502</v>
      </c>
    </row>
    <row r="71" spans="1:15" x14ac:dyDescent="0.25">
      <c r="A71" t="s">
        <v>56</v>
      </c>
      <c r="B71" t="s">
        <v>167</v>
      </c>
      <c r="C71" t="s">
        <v>168</v>
      </c>
      <c r="D71">
        <v>19.25</v>
      </c>
      <c r="E71" t="s">
        <v>56</v>
      </c>
      <c r="F71">
        <v>409.99999999999989</v>
      </c>
      <c r="G71">
        <v>9.3446610000000003</v>
      </c>
      <c r="H71">
        <v>12.03125</v>
      </c>
      <c r="I71" t="s">
        <v>18</v>
      </c>
      <c r="J71">
        <v>0</v>
      </c>
      <c r="K71">
        <v>10119000064</v>
      </c>
      <c r="L71">
        <v>32.249736812063553</v>
      </c>
      <c r="M71">
        <v>2.06</v>
      </c>
      <c r="N71">
        <v>1.6</v>
      </c>
      <c r="O71">
        <v>32.511692128007923</v>
      </c>
    </row>
    <row r="72" spans="1:15" x14ac:dyDescent="0.25">
      <c r="A72" t="s">
        <v>56</v>
      </c>
      <c r="B72" t="s">
        <v>169</v>
      </c>
      <c r="C72" t="s">
        <v>170</v>
      </c>
      <c r="D72">
        <v>8.3199996948242188</v>
      </c>
      <c r="E72" t="s">
        <v>56</v>
      </c>
      <c r="F72">
        <v>68</v>
      </c>
      <c r="G72">
        <v>8.1568620000000003</v>
      </c>
      <c r="H72">
        <v>6.1629623999999996</v>
      </c>
      <c r="I72" t="s">
        <v>18</v>
      </c>
      <c r="J72">
        <v>0</v>
      </c>
      <c r="K72">
        <v>279489806336</v>
      </c>
      <c r="L72">
        <v>12.05665321684638</v>
      </c>
      <c r="M72">
        <v>1.02</v>
      </c>
      <c r="N72">
        <v>1.3500000737996101</v>
      </c>
      <c r="O72">
        <v>70.522495671695083</v>
      </c>
    </row>
    <row r="73" spans="1:15" x14ac:dyDescent="0.25">
      <c r="A73" t="s">
        <v>112</v>
      </c>
      <c r="B73" t="s">
        <v>171</v>
      </c>
      <c r="C73" t="s">
        <v>172</v>
      </c>
      <c r="D73">
        <v>93.014999389648438</v>
      </c>
      <c r="E73" t="s">
        <v>37</v>
      </c>
      <c r="F73" t="s">
        <v>18</v>
      </c>
      <c r="G73" t="s">
        <v>18</v>
      </c>
      <c r="H73" t="s">
        <v>18</v>
      </c>
      <c r="I73" t="s">
        <v>18</v>
      </c>
      <c r="J73" t="s">
        <v>18</v>
      </c>
      <c r="K73" t="s">
        <v>18</v>
      </c>
      <c r="L73" t="s">
        <v>18</v>
      </c>
      <c r="M73" t="s">
        <v>18</v>
      </c>
      <c r="O73">
        <v>49.89997959535053</v>
      </c>
    </row>
    <row r="74" spans="1:15" x14ac:dyDescent="0.25">
      <c r="A74" t="s">
        <v>28</v>
      </c>
      <c r="B74" t="s">
        <v>173</v>
      </c>
      <c r="C74" t="s">
        <v>174</v>
      </c>
      <c r="D74">
        <v>59.709999084472663</v>
      </c>
      <c r="E74" t="s">
        <v>31</v>
      </c>
      <c r="F74">
        <v>677</v>
      </c>
      <c r="G74">
        <v>10.817029</v>
      </c>
      <c r="H74">
        <v>7.3444032999999997</v>
      </c>
      <c r="I74" t="s">
        <v>18</v>
      </c>
      <c r="J74">
        <v>18.952000000000002</v>
      </c>
      <c r="K74">
        <v>12787999744</v>
      </c>
      <c r="L74">
        <v>6.8341537708663562</v>
      </c>
      <c r="M74">
        <v>5.52</v>
      </c>
      <c r="N74">
        <v>8.1300000347846719</v>
      </c>
      <c r="O74">
        <v>23.248510819617071</v>
      </c>
    </row>
    <row r="75" spans="1:15" x14ac:dyDescent="0.25">
      <c r="A75" t="s">
        <v>28</v>
      </c>
      <c r="B75" t="s">
        <v>175</v>
      </c>
      <c r="C75" t="s">
        <v>176</v>
      </c>
      <c r="D75">
        <v>24.75</v>
      </c>
      <c r="E75" t="s">
        <v>31</v>
      </c>
      <c r="F75">
        <v>607</v>
      </c>
      <c r="G75">
        <v>8.1953639999999996</v>
      </c>
      <c r="H75">
        <v>8.6236929999999994</v>
      </c>
      <c r="I75" t="s">
        <v>18</v>
      </c>
      <c r="J75">
        <v>35.322000000000003</v>
      </c>
      <c r="K75">
        <v>8216999936</v>
      </c>
      <c r="L75">
        <v>7.7180292325089086</v>
      </c>
      <c r="M75">
        <v>3.02</v>
      </c>
      <c r="N75">
        <v>2.8700001263959649</v>
      </c>
      <c r="O75">
        <v>32.82858180546809</v>
      </c>
    </row>
    <row r="76" spans="1:15" x14ac:dyDescent="0.25">
      <c r="A76" t="s">
        <v>112</v>
      </c>
      <c r="B76" t="s">
        <v>177</v>
      </c>
      <c r="C76" t="s">
        <v>178</v>
      </c>
      <c r="D76">
        <v>26844</v>
      </c>
      <c r="E76" t="s">
        <v>37</v>
      </c>
      <c r="F76" t="s">
        <v>18</v>
      </c>
      <c r="G76" t="s">
        <v>18</v>
      </c>
      <c r="H76" t="s">
        <v>18</v>
      </c>
      <c r="I76" t="s">
        <v>18</v>
      </c>
      <c r="J76" t="s">
        <v>18</v>
      </c>
      <c r="K76" t="s">
        <v>18</v>
      </c>
      <c r="L76" t="s">
        <v>18</v>
      </c>
      <c r="M76" t="s">
        <v>18</v>
      </c>
      <c r="O76">
        <v>15.65575609346649</v>
      </c>
    </row>
    <row r="77" spans="1:15" x14ac:dyDescent="0.25">
      <c r="A77" t="s">
        <v>56</v>
      </c>
      <c r="B77" t="s">
        <v>179</v>
      </c>
      <c r="C77" t="s">
        <v>180</v>
      </c>
      <c r="D77">
        <v>45.040000915527337</v>
      </c>
      <c r="E77" t="s">
        <v>56</v>
      </c>
      <c r="F77">
        <v>556</v>
      </c>
      <c r="G77">
        <v>7.5443892000000004</v>
      </c>
      <c r="H77">
        <v>8.9188120000000009</v>
      </c>
      <c r="I77" t="s">
        <v>18</v>
      </c>
      <c r="J77">
        <v>0</v>
      </c>
      <c r="K77">
        <v>220399008</v>
      </c>
      <c r="L77">
        <v>71.986764200504865</v>
      </c>
      <c r="M77">
        <v>5.97</v>
      </c>
      <c r="N77">
        <v>5.0500000353777317</v>
      </c>
      <c r="O77">
        <v>27.296243276692909</v>
      </c>
    </row>
    <row r="78" spans="1:15" x14ac:dyDescent="0.25">
      <c r="A78" t="s">
        <v>112</v>
      </c>
      <c r="B78" t="s">
        <v>181</v>
      </c>
      <c r="C78" t="s">
        <v>182</v>
      </c>
      <c r="D78">
        <v>22.969999313354489</v>
      </c>
      <c r="E78" t="s">
        <v>37</v>
      </c>
      <c r="F78" t="s">
        <v>18</v>
      </c>
      <c r="G78" t="s">
        <v>18</v>
      </c>
      <c r="H78" t="s">
        <v>18</v>
      </c>
      <c r="I78" t="s">
        <v>18</v>
      </c>
      <c r="J78" t="s">
        <v>18</v>
      </c>
      <c r="K78" t="s">
        <v>18</v>
      </c>
      <c r="L78" t="s">
        <v>18</v>
      </c>
      <c r="M78" t="s">
        <v>18</v>
      </c>
      <c r="O78">
        <v>14.262532760109289</v>
      </c>
    </row>
    <row r="79" spans="1:15" x14ac:dyDescent="0.25">
      <c r="A79" t="s">
        <v>28</v>
      </c>
      <c r="B79" t="s">
        <v>183</v>
      </c>
      <c r="C79" t="s">
        <v>184</v>
      </c>
      <c r="D79">
        <v>44.849998474121087</v>
      </c>
      <c r="E79" t="s">
        <v>31</v>
      </c>
      <c r="F79">
        <v>217</v>
      </c>
      <c r="G79">
        <v>26.382349999999999</v>
      </c>
      <c r="H79">
        <v>14.193037</v>
      </c>
      <c r="I79" t="s">
        <v>18</v>
      </c>
      <c r="J79">
        <v>48.667000000000002</v>
      </c>
      <c r="K79">
        <v>1730000000</v>
      </c>
      <c r="L79">
        <v>6.3720073364413654</v>
      </c>
      <c r="M79">
        <v>1.7</v>
      </c>
      <c r="N79">
        <v>3.1600001094988399</v>
      </c>
      <c r="O79">
        <v>36.01701970270598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Samuel Rodriguez Walton</cp:lastModifiedBy>
  <dcterms:created xsi:type="dcterms:W3CDTF">2025-10-04T14:16:00Z</dcterms:created>
  <dcterms:modified xsi:type="dcterms:W3CDTF">2025-10-04T14:28:22Z</dcterms:modified>
</cp:coreProperties>
</file>