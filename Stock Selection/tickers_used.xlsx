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/>
  <mc:AlternateContent xmlns:mc="http://schemas.openxmlformats.org/markup-compatibility/2006">
    <mc:Choice Requires="x15">
      <x15ac:absPath xmlns:x15ac="http://schemas.microsoft.com/office/spreadsheetml/2010/11/ac" url="https://rodwals-my.sharepoint.com/personal/samuel_rodwal_com/Documents/Professional_WorkTools/Github/RodWal-Capital-Insights/Stock Selection/"/>
    </mc:Choice>
  </mc:AlternateContent>
  <xr:revisionPtr revIDLastSave="4" documentId="11_22B9BC1EDE523A0F62355476585DCE3A87472C50" xr6:coauthVersionLast="47" xr6:coauthVersionMax="47" xr10:uidLastSave="{29A93EDA-C283-4A11-98FD-91ECC3D9E163}"/>
  <bookViews>
    <workbookView xWindow="-120" yWindow="-120" windowWidth="29040" windowHeight="15720" xr2:uid="{00000000-000D-0000-FFFF-FFFF00000000}"/>
  </bookViews>
  <sheets>
    <sheet name="Sheet1" sheetId="1" r:id="rId1"/>
  </sheets>
  <definedNames>
    <definedName name="_xlnm._FilterDatabase" localSheetId="0" hidden="1">Sheet1!$A$1:$O$69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41" i="1" l="1"/>
</calcChain>
</file>

<file path=xl/sharedStrings.xml><?xml version="1.0" encoding="utf-8"?>
<sst xmlns="http://schemas.openxmlformats.org/spreadsheetml/2006/main" count="427" uniqueCount="102">
  <si>
    <t>Chapter</t>
  </si>
  <si>
    <t>Name</t>
  </si>
  <si>
    <t>Ticker</t>
  </si>
  <si>
    <t>Close Price</t>
  </si>
  <si>
    <t>GICS Sector</t>
  </si>
  <si>
    <t>Expected Dividend Yield %</t>
  </si>
  <si>
    <t>Trailing P/E</t>
  </si>
  <si>
    <t>Forward P/E</t>
  </si>
  <si>
    <t>PEG Ratio</t>
  </si>
  <si>
    <t>EBITDA Margin %</t>
  </si>
  <si>
    <t>Net Income to Common</t>
  </si>
  <si>
    <t>Net Income %</t>
  </si>
  <si>
    <t>EPS</t>
  </si>
  <si>
    <t>Forward EPS</t>
  </si>
  <si>
    <t>Volatility %</t>
  </si>
  <si>
    <t>Healthcare</t>
  </si>
  <si>
    <t>AGIO</t>
  </si>
  <si>
    <t>N/A</t>
  </si>
  <si>
    <t>Technology</t>
  </si>
  <si>
    <t>PANW</t>
  </si>
  <si>
    <t>AVGO</t>
  </si>
  <si>
    <t>Consumer Def &amp; Cyclical</t>
  </si>
  <si>
    <t>DAR</t>
  </si>
  <si>
    <t>Consumer Defensive</t>
  </si>
  <si>
    <t>Energy &amp; Utilities</t>
  </si>
  <si>
    <t>SHELL.AS</t>
  </si>
  <si>
    <t>Energy</t>
  </si>
  <si>
    <t>FSLR</t>
  </si>
  <si>
    <t>CFDs</t>
  </si>
  <si>
    <t>GC=F</t>
  </si>
  <si>
    <t>Unknown</t>
  </si>
  <si>
    <t>LEVI</t>
  </si>
  <si>
    <t>Consumer Cyclical</t>
  </si>
  <si>
    <t>GILD</t>
  </si>
  <si>
    <t>NVDA</t>
  </si>
  <si>
    <t>NEE</t>
  </si>
  <si>
    <t>Utilities</t>
  </si>
  <si>
    <t>ACI</t>
  </si>
  <si>
    <t>AMAT</t>
  </si>
  <si>
    <t>AAPL</t>
  </si>
  <si>
    <t>PEP</t>
  </si>
  <si>
    <t>Financial Services</t>
  </si>
  <si>
    <t>V</t>
  </si>
  <si>
    <t>QCOM</t>
  </si>
  <si>
    <t>YUM</t>
  </si>
  <si>
    <t>INGR</t>
  </si>
  <si>
    <t>MC.PA</t>
  </si>
  <si>
    <t>MSFT</t>
  </si>
  <si>
    <t>MA</t>
  </si>
  <si>
    <t>AEP</t>
  </si>
  <si>
    <t>WMT</t>
  </si>
  <si>
    <t>ASML</t>
  </si>
  <si>
    <t>YPF</t>
  </si>
  <si>
    <t>DUK</t>
  </si>
  <si>
    <t>KMB</t>
  </si>
  <si>
    <t>ING</t>
  </si>
  <si>
    <t>GOOGL</t>
  </si>
  <si>
    <t>Communication Services</t>
  </si>
  <si>
    <t>APA</t>
  </si>
  <si>
    <t>TSM</t>
  </si>
  <si>
    <t>EXC</t>
  </si>
  <si>
    <t>CIB</t>
  </si>
  <si>
    <t>MO</t>
  </si>
  <si>
    <t>BBVA.MC</t>
  </si>
  <si>
    <t>BCS</t>
  </si>
  <si>
    <t>SMFG</t>
  </si>
  <si>
    <t>Others</t>
  </si>
  <si>
    <t>Error: 'float' object has no attribute 'upper'</t>
  </si>
  <si>
    <t>INDEX</t>
  </si>
  <si>
    <t>^VIX</t>
  </si>
  <si>
    <t>MAXN</t>
  </si>
  <si>
    <t>MXN=X</t>
  </si>
  <si>
    <t>ETF</t>
  </si>
  <si>
    <t>SDIA.L</t>
  </si>
  <si>
    <t>FLOA.L</t>
  </si>
  <si>
    <t>VHYD.L</t>
  </si>
  <si>
    <t>VWO</t>
  </si>
  <si>
    <t>Basic Materials</t>
  </si>
  <si>
    <t>SQM</t>
  </si>
  <si>
    <t>SPY</t>
  </si>
  <si>
    <t>VBTC.DE</t>
  </si>
  <si>
    <t>BATT.AS</t>
  </si>
  <si>
    <t>JPY=X</t>
  </si>
  <si>
    <t>US30</t>
  </si>
  <si>
    <t xml:space="preserve">Error: HTTP Error 404: </t>
  </si>
  <si>
    <t>BOTZ.L</t>
  </si>
  <si>
    <t>BND</t>
  </si>
  <si>
    <t>INTERNAL_ACCOUNT</t>
  </si>
  <si>
    <t>HCA</t>
  </si>
  <si>
    <t>Industrials</t>
  </si>
  <si>
    <t>MMM</t>
  </si>
  <si>
    <t>PLTR</t>
  </si>
  <si>
    <t>APTV</t>
  </si>
  <si>
    <t>YUMC</t>
  </si>
  <si>
    <t>PCG</t>
  </si>
  <si>
    <t>JKS</t>
  </si>
  <si>
    <t>SWI.US</t>
  </si>
  <si>
    <t>CSIQ</t>
  </si>
  <si>
    <t>C</t>
  </si>
  <si>
    <t>BAP</t>
  </si>
  <si>
    <t>COIN</t>
  </si>
  <si>
    <t>GIS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</si>
</sst>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O69"/>
  <sheetViews>
    <sheetView tabSelected="1" workbookViewId="0">
      <selection activeCell="D78" sqref="D78"/>
    </sheetView>
  </sheetViews>
  <sheetFormatPr defaultRowHeight="15" x14ac:dyDescent="0.25"/>
  <cols>
    <col min="1" max="1" width="22.85546875" bestFit="1" customWidth="1"/>
    <col min="2" max="2" width="10.85546875" bestFit="1" customWidth="1"/>
    <col min="3" max="3" width="19.7109375" bestFit="1" customWidth="1"/>
    <col min="4" max="4" width="39.28515625" bestFit="1" customWidth="1"/>
    <col min="5" max="5" width="23.140625" bestFit="1" customWidth="1"/>
  </cols>
  <sheetData>
    <row r="1" spans="1:1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</row>
    <row r="2" spans="1:15" hidden="1" x14ac:dyDescent="0.25">
      <c r="A2" t="s">
        <v>15</v>
      </c>
      <c r="C2" t="s">
        <v>16</v>
      </c>
      <c r="D2">
        <v>37.009998321533203</v>
      </c>
      <c r="E2" t="s">
        <v>15</v>
      </c>
      <c r="F2" t="s">
        <v>17</v>
      </c>
      <c r="G2">
        <v>3.2781221999999999</v>
      </c>
      <c r="H2">
        <v>-6.0871709999999997</v>
      </c>
      <c r="I2" t="s">
        <v>17</v>
      </c>
      <c r="J2">
        <v>0</v>
      </c>
      <c r="K2">
        <v>650083008</v>
      </c>
      <c r="L2">
        <v>1590.4171449541279</v>
      </c>
      <c r="M2">
        <v>11.29</v>
      </c>
      <c r="N2">
        <v>-6.08</v>
      </c>
      <c r="O2">
        <v>52.675672722949841</v>
      </c>
    </row>
    <row r="3" spans="1:15" hidden="1" x14ac:dyDescent="0.25">
      <c r="A3" t="s">
        <v>18</v>
      </c>
      <c r="C3" t="s">
        <v>19</v>
      </c>
      <c r="D3">
        <v>177.0899963378906</v>
      </c>
      <c r="E3" t="s">
        <v>18</v>
      </c>
      <c r="F3" t="s">
        <v>17</v>
      </c>
      <c r="G3">
        <v>101.775856</v>
      </c>
      <c r="H3">
        <v>24.595832999999999</v>
      </c>
      <c r="I3" t="s">
        <v>17</v>
      </c>
      <c r="J3">
        <v>14.087</v>
      </c>
      <c r="K3">
        <v>1237799936</v>
      </c>
      <c r="L3">
        <v>13.94751334966173</v>
      </c>
      <c r="M3">
        <v>1.74</v>
      </c>
      <c r="N3">
        <v>7.2</v>
      </c>
      <c r="O3">
        <v>36.934510992821707</v>
      </c>
    </row>
    <row r="4" spans="1:15" hidden="1" x14ac:dyDescent="0.25">
      <c r="A4" t="s">
        <v>18</v>
      </c>
      <c r="C4" t="s">
        <v>20</v>
      </c>
      <c r="D4">
        <v>306.33999633789063</v>
      </c>
      <c r="E4" t="s">
        <v>18</v>
      </c>
      <c r="F4">
        <v>77</v>
      </c>
      <c r="G4">
        <v>112.212456</v>
      </c>
      <c r="H4">
        <v>49.649918</v>
      </c>
      <c r="I4" t="s">
        <v>17</v>
      </c>
      <c r="J4">
        <v>54.54</v>
      </c>
      <c r="K4">
        <v>13240999936</v>
      </c>
      <c r="L4">
        <v>23.211092846353111</v>
      </c>
      <c r="M4">
        <v>2.73</v>
      </c>
      <c r="N4">
        <v>6.17</v>
      </c>
      <c r="O4">
        <v>57.828225738169387</v>
      </c>
    </row>
    <row r="5" spans="1:15" hidden="1" x14ac:dyDescent="0.25">
      <c r="A5" t="s">
        <v>21</v>
      </c>
      <c r="C5" t="s">
        <v>22</v>
      </c>
      <c r="D5">
        <v>31.180000305175781</v>
      </c>
      <c r="E5" t="s">
        <v>23</v>
      </c>
      <c r="F5" t="s">
        <v>17</v>
      </c>
      <c r="G5">
        <v>47.969234</v>
      </c>
      <c r="H5">
        <v>10.428094</v>
      </c>
      <c r="I5" t="s">
        <v>17</v>
      </c>
      <c r="J5">
        <v>14.28</v>
      </c>
      <c r="K5">
        <v>105358000</v>
      </c>
      <c r="L5">
        <v>1.847836152611434</v>
      </c>
      <c r="M5">
        <v>0.65</v>
      </c>
      <c r="N5">
        <v>2.99</v>
      </c>
      <c r="O5">
        <v>42.676039406184621</v>
      </c>
    </row>
    <row r="6" spans="1:15" hidden="1" x14ac:dyDescent="0.25">
      <c r="A6" t="s">
        <v>24</v>
      </c>
      <c r="C6" t="s">
        <v>25</v>
      </c>
      <c r="D6">
        <v>30.67499923706055</v>
      </c>
      <c r="E6" t="s">
        <v>26</v>
      </c>
      <c r="F6">
        <v>401</v>
      </c>
      <c r="G6">
        <v>15.9765625</v>
      </c>
      <c r="H6">
        <v>8.0301050000000007</v>
      </c>
      <c r="I6" t="s">
        <v>17</v>
      </c>
      <c r="J6">
        <v>17.751999999999999</v>
      </c>
      <c r="K6">
        <v>13601000448</v>
      </c>
      <c r="L6">
        <v>5.0001655650679302</v>
      </c>
      <c r="M6">
        <v>1.92</v>
      </c>
      <c r="N6">
        <v>3.82</v>
      </c>
      <c r="O6">
        <v>21.62320255684196</v>
      </c>
    </row>
    <row r="7" spans="1:15" hidden="1" x14ac:dyDescent="0.25">
      <c r="A7" t="s">
        <v>24</v>
      </c>
      <c r="C7" t="s">
        <v>27</v>
      </c>
      <c r="D7">
        <v>199.94999694824219</v>
      </c>
      <c r="E7" t="s">
        <v>18</v>
      </c>
      <c r="F7" t="s">
        <v>17</v>
      </c>
      <c r="G7">
        <v>17.089742999999999</v>
      </c>
      <c r="H7">
        <v>9.5853300000000008</v>
      </c>
      <c r="I7" t="s">
        <v>17</v>
      </c>
      <c r="J7">
        <v>42.540002000000001</v>
      </c>
      <c r="K7">
        <v>1257474944</v>
      </c>
      <c r="L7">
        <v>28.951150941116499</v>
      </c>
      <c r="M7">
        <v>11.7</v>
      </c>
      <c r="N7">
        <v>20.86</v>
      </c>
      <c r="O7">
        <v>63.515869616212107</v>
      </c>
    </row>
    <row r="8" spans="1:15" hidden="1" x14ac:dyDescent="0.25">
      <c r="A8" t="s">
        <v>28</v>
      </c>
      <c r="C8" t="s">
        <v>29</v>
      </c>
      <c r="D8">
        <v>3336</v>
      </c>
      <c r="E8" t="s">
        <v>30</v>
      </c>
      <c r="F8" t="s">
        <v>17</v>
      </c>
      <c r="G8" t="s">
        <v>17</v>
      </c>
      <c r="H8" t="s">
        <v>17</v>
      </c>
      <c r="I8" t="s">
        <v>17</v>
      </c>
      <c r="J8" t="s">
        <v>17</v>
      </c>
      <c r="K8" t="s">
        <v>17</v>
      </c>
      <c r="L8" t="s">
        <v>17</v>
      </c>
      <c r="M8" t="s">
        <v>17</v>
      </c>
      <c r="N8" t="s">
        <v>17</v>
      </c>
      <c r="O8">
        <v>18.071577557846432</v>
      </c>
    </row>
    <row r="9" spans="1:15" hidden="1" x14ac:dyDescent="0.25">
      <c r="A9" t="s">
        <v>21</v>
      </c>
      <c r="C9" t="s">
        <v>31</v>
      </c>
      <c r="D9">
        <v>21.139999389648441</v>
      </c>
      <c r="E9" t="s">
        <v>32</v>
      </c>
      <c r="F9">
        <v>265</v>
      </c>
      <c r="G9">
        <v>20.133333</v>
      </c>
      <c r="H9">
        <v>15.099999</v>
      </c>
      <c r="I9" t="s">
        <v>17</v>
      </c>
      <c r="J9">
        <v>14.885001000000001</v>
      </c>
      <c r="K9">
        <v>423100000</v>
      </c>
      <c r="L9">
        <v>6.5201648087588282</v>
      </c>
      <c r="M9">
        <v>1.05</v>
      </c>
      <c r="N9">
        <v>1.4</v>
      </c>
      <c r="O9">
        <v>42.124104664775608</v>
      </c>
    </row>
    <row r="10" spans="1:15" hidden="1" x14ac:dyDescent="0.25">
      <c r="A10" t="s">
        <v>15</v>
      </c>
      <c r="C10" t="s">
        <v>33</v>
      </c>
      <c r="D10">
        <v>118.370002746582</v>
      </c>
      <c r="E10" t="s">
        <v>15</v>
      </c>
      <c r="F10">
        <v>267</v>
      </c>
      <c r="G10">
        <v>23.486113</v>
      </c>
      <c r="H10">
        <v>15.93136</v>
      </c>
      <c r="I10" t="s">
        <v>17</v>
      </c>
      <c r="J10">
        <v>47.816001999999997</v>
      </c>
      <c r="K10">
        <v>6311000064</v>
      </c>
      <c r="L10">
        <v>21.865363746164661</v>
      </c>
      <c r="M10">
        <v>5.04</v>
      </c>
      <c r="N10">
        <v>7.43</v>
      </c>
      <c r="O10">
        <v>27.502078022369361</v>
      </c>
    </row>
    <row r="11" spans="1:15" hidden="1" x14ac:dyDescent="0.25">
      <c r="A11" t="s">
        <v>18</v>
      </c>
      <c r="C11" t="s">
        <v>34</v>
      </c>
      <c r="D11">
        <v>180.44999694824219</v>
      </c>
      <c r="E11" t="s">
        <v>18</v>
      </c>
      <c r="F11">
        <v>2</v>
      </c>
      <c r="G11">
        <v>58.209679999999999</v>
      </c>
      <c r="H11">
        <v>43.798546000000002</v>
      </c>
      <c r="I11" t="s">
        <v>17</v>
      </c>
      <c r="J11">
        <v>59.419995999999998</v>
      </c>
      <c r="K11">
        <v>76773998592</v>
      </c>
      <c r="L11">
        <v>51.694442005172633</v>
      </c>
      <c r="M11">
        <v>3.1</v>
      </c>
      <c r="N11">
        <v>4.12</v>
      </c>
      <c r="O11">
        <v>52.278384578577743</v>
      </c>
    </row>
    <row r="12" spans="1:15" hidden="1" x14ac:dyDescent="0.25">
      <c r="A12" t="s">
        <v>24</v>
      </c>
      <c r="C12" t="s">
        <v>35</v>
      </c>
      <c r="D12">
        <v>75.410003662109375</v>
      </c>
      <c r="E12" t="s">
        <v>36</v>
      </c>
      <c r="F12">
        <v>300</v>
      </c>
      <c r="G12">
        <v>26.275262999999999</v>
      </c>
      <c r="H12">
        <v>20.491848000000001</v>
      </c>
      <c r="I12" t="s">
        <v>17</v>
      </c>
      <c r="J12">
        <v>56.538999999999987</v>
      </c>
      <c r="K12">
        <v>5918000128</v>
      </c>
      <c r="L12">
        <v>22.850303764132139</v>
      </c>
      <c r="M12">
        <v>2.87</v>
      </c>
      <c r="N12">
        <v>3.68</v>
      </c>
      <c r="O12">
        <v>28.707442446844141</v>
      </c>
    </row>
    <row r="13" spans="1:15" hidden="1" x14ac:dyDescent="0.25">
      <c r="A13" t="s">
        <v>21</v>
      </c>
      <c r="C13" t="s">
        <v>37</v>
      </c>
      <c r="D13">
        <v>19.190000534057621</v>
      </c>
      <c r="E13" t="s">
        <v>23</v>
      </c>
      <c r="F13">
        <v>313</v>
      </c>
      <c r="G13">
        <v>11.701219999999999</v>
      </c>
      <c r="H13">
        <v>8.4537449999999996</v>
      </c>
      <c r="I13" t="s">
        <v>17</v>
      </c>
      <c r="J13">
        <v>4.5310000000000006</v>
      </c>
      <c r="K13">
        <v>954300032</v>
      </c>
      <c r="L13">
        <v>1.1780566033814761</v>
      </c>
      <c r="M13">
        <v>1.64</v>
      </c>
      <c r="N13">
        <v>2.27</v>
      </c>
      <c r="O13">
        <v>26.502866067983881</v>
      </c>
    </row>
    <row r="14" spans="1:15" hidden="1" x14ac:dyDescent="0.25">
      <c r="A14" t="s">
        <v>18</v>
      </c>
      <c r="C14" t="s">
        <v>38</v>
      </c>
      <c r="D14">
        <v>161.75999450683591</v>
      </c>
      <c r="E14" t="s">
        <v>18</v>
      </c>
      <c r="F14">
        <v>114</v>
      </c>
      <c r="G14">
        <v>19.302505</v>
      </c>
      <c r="H14">
        <v>16.692983999999999</v>
      </c>
      <c r="I14" t="s">
        <v>17</v>
      </c>
      <c r="J14">
        <v>31.643000000000001</v>
      </c>
      <c r="K14">
        <v>6832000000</v>
      </c>
      <c r="L14">
        <v>23.87725928304895</v>
      </c>
      <c r="M14">
        <v>8.3800000000000008</v>
      </c>
      <c r="N14">
        <v>9.69</v>
      </c>
      <c r="O14">
        <v>46.12516981128951</v>
      </c>
    </row>
    <row r="15" spans="1:15" hidden="1" x14ac:dyDescent="0.25">
      <c r="A15" t="s">
        <v>18</v>
      </c>
      <c r="C15" t="s">
        <v>39</v>
      </c>
      <c r="D15">
        <v>231.5899963378906</v>
      </c>
      <c r="E15" t="s">
        <v>18</v>
      </c>
      <c r="F15">
        <v>45</v>
      </c>
      <c r="G15">
        <v>35.089393999999999</v>
      </c>
      <c r="H15">
        <v>27.868832000000001</v>
      </c>
      <c r="I15" t="s">
        <v>17</v>
      </c>
      <c r="J15">
        <v>34.675997000000002</v>
      </c>
      <c r="K15">
        <v>99280003072</v>
      </c>
      <c r="L15">
        <v>24.296116475658661</v>
      </c>
      <c r="M15">
        <v>6.6</v>
      </c>
      <c r="N15">
        <v>8.31</v>
      </c>
      <c r="O15">
        <v>32.144325819597611</v>
      </c>
    </row>
    <row r="16" spans="1:15" hidden="1" x14ac:dyDescent="0.25">
      <c r="A16" t="s">
        <v>21</v>
      </c>
      <c r="C16" t="s">
        <v>40</v>
      </c>
      <c r="D16">
        <v>150.3999938964844</v>
      </c>
      <c r="E16" t="s">
        <v>23</v>
      </c>
      <c r="F16">
        <v>378</v>
      </c>
      <c r="G16">
        <v>27.395264000000001</v>
      </c>
      <c r="H16">
        <v>17.427578</v>
      </c>
      <c r="I16" t="s">
        <v>17</v>
      </c>
      <c r="J16">
        <v>18.559999999999999</v>
      </c>
      <c r="K16">
        <v>7550000128</v>
      </c>
      <c r="L16">
        <v>8.2290623763639541</v>
      </c>
      <c r="M16">
        <v>5.49</v>
      </c>
      <c r="N16">
        <v>8.6300000000000008</v>
      </c>
      <c r="O16">
        <v>21.631129642785091</v>
      </c>
    </row>
    <row r="17" spans="1:15" hidden="1" x14ac:dyDescent="0.25">
      <c r="A17" t="s">
        <v>41</v>
      </c>
      <c r="C17" t="s">
        <v>42</v>
      </c>
      <c r="D17">
        <v>344.47000122070313</v>
      </c>
      <c r="E17" t="s">
        <v>41</v>
      </c>
      <c r="F17">
        <v>69</v>
      </c>
      <c r="G17">
        <v>33.672535000000003</v>
      </c>
      <c r="H17">
        <v>27.209322</v>
      </c>
      <c r="I17" t="s">
        <v>17</v>
      </c>
      <c r="J17">
        <v>70.031000000000006</v>
      </c>
      <c r="K17">
        <v>20060000256</v>
      </c>
      <c r="L17">
        <v>51.577407114905903</v>
      </c>
      <c r="M17">
        <v>10.23</v>
      </c>
      <c r="N17">
        <v>12.66</v>
      </c>
      <c r="O17">
        <v>22.61027206439126</v>
      </c>
    </row>
    <row r="18" spans="1:15" hidden="1" x14ac:dyDescent="0.25">
      <c r="A18" t="s">
        <v>18</v>
      </c>
      <c r="C18" t="s">
        <v>43</v>
      </c>
      <c r="D18">
        <v>157.8500061035156</v>
      </c>
      <c r="E18" t="s">
        <v>18</v>
      </c>
      <c r="F18">
        <v>226</v>
      </c>
      <c r="G18">
        <v>15.251207000000001</v>
      </c>
      <c r="H18">
        <v>12.906788000000001</v>
      </c>
      <c r="I18" t="s">
        <v>17</v>
      </c>
      <c r="J18">
        <v>32.066001999999997</v>
      </c>
      <c r="K18">
        <v>11573000192</v>
      </c>
      <c r="L18">
        <v>26.754051850850949</v>
      </c>
      <c r="M18">
        <v>10.35</v>
      </c>
      <c r="N18">
        <v>12.23</v>
      </c>
      <c r="O18">
        <v>38.261570897579141</v>
      </c>
    </row>
    <row r="19" spans="1:15" hidden="1" x14ac:dyDescent="0.25">
      <c r="A19" t="s">
        <v>21</v>
      </c>
      <c r="C19" t="s">
        <v>44</v>
      </c>
      <c r="D19">
        <v>148.17999267578119</v>
      </c>
      <c r="E19" t="s">
        <v>32</v>
      </c>
      <c r="F19">
        <v>192</v>
      </c>
      <c r="G19">
        <v>29.226821999999999</v>
      </c>
      <c r="H19">
        <v>24.37171</v>
      </c>
      <c r="I19" t="s">
        <v>17</v>
      </c>
      <c r="J19">
        <v>35.204999999999998</v>
      </c>
      <c r="K19">
        <v>1432999936</v>
      </c>
      <c r="L19">
        <v>18.120890015041461</v>
      </c>
      <c r="M19">
        <v>5.07</v>
      </c>
      <c r="N19">
        <v>6.08</v>
      </c>
      <c r="O19">
        <v>22.834199393923779</v>
      </c>
    </row>
    <row r="20" spans="1:15" hidden="1" x14ac:dyDescent="0.25">
      <c r="A20" t="s">
        <v>21</v>
      </c>
      <c r="C20" t="s">
        <v>45</v>
      </c>
      <c r="D20">
        <v>125.9300003051758</v>
      </c>
      <c r="E20" t="s">
        <v>23</v>
      </c>
      <c r="F20">
        <v>254</v>
      </c>
      <c r="G20">
        <v>12.297852000000001</v>
      </c>
      <c r="H20">
        <v>11.334834000000001</v>
      </c>
      <c r="I20" t="s">
        <v>17</v>
      </c>
      <c r="J20">
        <v>17.756</v>
      </c>
      <c r="K20">
        <v>676000000</v>
      </c>
      <c r="L20">
        <v>9.2400221931992466</v>
      </c>
      <c r="M20">
        <v>10.24</v>
      </c>
      <c r="N20">
        <v>11.11</v>
      </c>
      <c r="O20">
        <v>24.755942019001751</v>
      </c>
    </row>
    <row r="21" spans="1:15" hidden="1" x14ac:dyDescent="0.25">
      <c r="A21" t="s">
        <v>21</v>
      </c>
      <c r="C21" t="s">
        <v>46</v>
      </c>
      <c r="D21">
        <v>476.10000610351563</v>
      </c>
      <c r="E21" t="s">
        <v>32</v>
      </c>
      <c r="F21">
        <v>273</v>
      </c>
      <c r="G21">
        <v>21.640910000000002</v>
      </c>
      <c r="H21">
        <v>16.36645</v>
      </c>
      <c r="I21" t="s">
        <v>17</v>
      </c>
      <c r="J21">
        <v>24.829000000000001</v>
      </c>
      <c r="K21">
        <v>10981000192</v>
      </c>
      <c r="L21">
        <v>13.259515301391041</v>
      </c>
      <c r="M21">
        <v>22</v>
      </c>
      <c r="N21">
        <v>29.09</v>
      </c>
      <c r="O21">
        <v>32.896806930622837</v>
      </c>
    </row>
    <row r="22" spans="1:15" hidden="1" x14ac:dyDescent="0.25">
      <c r="A22" t="s">
        <v>18</v>
      </c>
      <c r="C22" t="s">
        <v>47</v>
      </c>
      <c r="D22">
        <v>520.16998291015625</v>
      </c>
      <c r="E22" t="s">
        <v>18</v>
      </c>
      <c r="F22">
        <v>64</v>
      </c>
      <c r="G22">
        <v>38.163609999999998</v>
      </c>
      <c r="H22">
        <v>34.793979999999998</v>
      </c>
      <c r="I22" t="s">
        <v>17</v>
      </c>
      <c r="J22">
        <v>55.561000000000007</v>
      </c>
      <c r="K22">
        <v>101831999488</v>
      </c>
      <c r="L22">
        <v>36.146015822676603</v>
      </c>
      <c r="M22">
        <v>13.63</v>
      </c>
      <c r="N22">
        <v>14.95</v>
      </c>
      <c r="O22">
        <v>24.957353839396021</v>
      </c>
    </row>
    <row r="23" spans="1:15" hidden="1" x14ac:dyDescent="0.25">
      <c r="A23" t="s">
        <v>41</v>
      </c>
      <c r="C23" t="s">
        <v>48</v>
      </c>
      <c r="D23">
        <v>581.70001220703125</v>
      </c>
      <c r="E23" t="s">
        <v>41</v>
      </c>
      <c r="F23">
        <v>52</v>
      </c>
      <c r="G23">
        <v>39.224544999999999</v>
      </c>
      <c r="H23">
        <v>35.512819999999998</v>
      </c>
      <c r="I23" t="s">
        <v>17</v>
      </c>
      <c r="J23">
        <v>62.078000000000003</v>
      </c>
      <c r="K23">
        <v>13585999872</v>
      </c>
      <c r="L23">
        <v>44.925763469370708</v>
      </c>
      <c r="M23">
        <v>14.83</v>
      </c>
      <c r="N23">
        <v>16.38</v>
      </c>
      <c r="O23">
        <v>21.880006196455859</v>
      </c>
    </row>
    <row r="24" spans="1:15" hidden="1" x14ac:dyDescent="0.25">
      <c r="A24" t="s">
        <v>24</v>
      </c>
      <c r="C24" t="s">
        <v>49</v>
      </c>
      <c r="D24">
        <v>111.9899978637695</v>
      </c>
      <c r="E24" t="s">
        <v>36</v>
      </c>
      <c r="F24">
        <v>332</v>
      </c>
      <c r="G24">
        <v>16.420819999999999</v>
      </c>
      <c r="H24">
        <v>19.013582</v>
      </c>
      <c r="I24" t="s">
        <v>17</v>
      </c>
      <c r="J24">
        <v>41.48</v>
      </c>
      <c r="K24">
        <v>3649700096</v>
      </c>
      <c r="L24">
        <v>17.659810882037171</v>
      </c>
      <c r="M24">
        <v>6.82</v>
      </c>
      <c r="N24">
        <v>5.89</v>
      </c>
      <c r="O24">
        <v>19.160258325907481</v>
      </c>
    </row>
    <row r="25" spans="1:15" hidden="1" x14ac:dyDescent="0.25">
      <c r="A25" t="s">
        <v>21</v>
      </c>
      <c r="C25" t="s">
        <v>50</v>
      </c>
      <c r="D25">
        <v>100</v>
      </c>
      <c r="E25" t="s">
        <v>23</v>
      </c>
      <c r="F25">
        <v>94</v>
      </c>
      <c r="G25">
        <v>42.735042999999997</v>
      </c>
      <c r="H25">
        <v>36.764705999999997</v>
      </c>
      <c r="I25" t="s">
        <v>17</v>
      </c>
      <c r="J25">
        <v>6.2409999999999997</v>
      </c>
      <c r="K25">
        <v>18819000320</v>
      </c>
      <c r="L25">
        <v>2.7469543815742412</v>
      </c>
      <c r="M25">
        <v>2.34</v>
      </c>
      <c r="N25">
        <v>2.72</v>
      </c>
      <c r="O25">
        <v>23.533480414029849</v>
      </c>
    </row>
    <row r="26" spans="1:15" hidden="1" x14ac:dyDescent="0.25">
      <c r="A26" t="s">
        <v>18</v>
      </c>
      <c r="C26" t="s">
        <v>51</v>
      </c>
      <c r="D26">
        <v>742.15997314453125</v>
      </c>
      <c r="E26" t="s">
        <v>18</v>
      </c>
      <c r="F26">
        <v>100</v>
      </c>
      <c r="G26">
        <v>26.317727999999999</v>
      </c>
      <c r="H26">
        <v>27.796253</v>
      </c>
      <c r="I26" t="s">
        <v>17</v>
      </c>
      <c r="J26">
        <v>37.594999999999999</v>
      </c>
      <c r="K26">
        <v>9415199744</v>
      </c>
      <c r="L26">
        <v>29.273115447467571</v>
      </c>
      <c r="M26">
        <v>28.2</v>
      </c>
      <c r="N26">
        <v>26.7</v>
      </c>
      <c r="O26">
        <v>43.270417253024199</v>
      </c>
    </row>
    <row r="27" spans="1:15" hidden="1" x14ac:dyDescent="0.25">
      <c r="A27" t="s">
        <v>24</v>
      </c>
      <c r="C27" t="s">
        <v>52</v>
      </c>
      <c r="D27">
        <v>32.970001220703118</v>
      </c>
      <c r="E27" t="s">
        <v>26</v>
      </c>
      <c r="F27" t="s">
        <v>17</v>
      </c>
      <c r="G27">
        <v>10.635484999999999</v>
      </c>
      <c r="H27">
        <v>7.014894</v>
      </c>
      <c r="I27" t="s">
        <v>17</v>
      </c>
      <c r="J27">
        <v>22.035</v>
      </c>
      <c r="K27">
        <v>1127194951680</v>
      </c>
      <c r="L27">
        <v>5.5838348244311069</v>
      </c>
      <c r="M27">
        <v>3.1</v>
      </c>
      <c r="N27">
        <v>4.7</v>
      </c>
      <c r="O27">
        <v>48.247457859823257</v>
      </c>
    </row>
    <row r="28" spans="1:15" hidden="1" x14ac:dyDescent="0.25">
      <c r="A28" t="s">
        <v>24</v>
      </c>
      <c r="C28" t="s">
        <v>53</v>
      </c>
      <c r="D28">
        <v>122.4499969482422</v>
      </c>
      <c r="E28" t="s">
        <v>36</v>
      </c>
      <c r="F28">
        <v>348</v>
      </c>
      <c r="G28">
        <v>20.040915999999999</v>
      </c>
      <c r="H28">
        <v>19.313879</v>
      </c>
      <c r="I28" t="s">
        <v>17</v>
      </c>
      <c r="J28">
        <v>49.838000000000001</v>
      </c>
      <c r="K28">
        <v>4729999872</v>
      </c>
      <c r="L28">
        <v>15.33324647302905</v>
      </c>
      <c r="M28">
        <v>6.11</v>
      </c>
      <c r="N28">
        <v>6.34</v>
      </c>
      <c r="O28">
        <v>17.913676432310869</v>
      </c>
    </row>
    <row r="29" spans="1:15" hidden="1" x14ac:dyDescent="0.25">
      <c r="A29" t="s">
        <v>21</v>
      </c>
      <c r="C29" t="s">
        <v>54</v>
      </c>
      <c r="D29">
        <v>132.94000244140619</v>
      </c>
      <c r="E29" t="s">
        <v>23</v>
      </c>
      <c r="F29">
        <v>379</v>
      </c>
      <c r="G29">
        <v>18.186046999999999</v>
      </c>
      <c r="H29">
        <v>17.423328000000001</v>
      </c>
      <c r="I29" t="s">
        <v>17</v>
      </c>
      <c r="J29">
        <v>19.409001</v>
      </c>
      <c r="K29">
        <v>2449999872</v>
      </c>
      <c r="L29">
        <v>12.42519420062256</v>
      </c>
      <c r="M29">
        <v>7.31</v>
      </c>
      <c r="N29">
        <v>7.63</v>
      </c>
      <c r="O29">
        <v>18.94113927707048</v>
      </c>
    </row>
    <row r="30" spans="1:15" hidden="1" x14ac:dyDescent="0.25">
      <c r="A30" t="s">
        <v>41</v>
      </c>
      <c r="C30" t="s">
        <v>55</v>
      </c>
      <c r="D30">
        <v>24.879999160766602</v>
      </c>
      <c r="E30" t="s">
        <v>41</v>
      </c>
      <c r="F30">
        <v>471</v>
      </c>
      <c r="G30">
        <v>10.678112</v>
      </c>
      <c r="H30">
        <v>11.36073</v>
      </c>
      <c r="I30" t="s">
        <v>17</v>
      </c>
      <c r="J30">
        <v>0</v>
      </c>
      <c r="K30">
        <v>4792999936</v>
      </c>
      <c r="L30">
        <v>24.461569062302619</v>
      </c>
      <c r="M30">
        <v>2.33</v>
      </c>
      <c r="N30">
        <v>2.19</v>
      </c>
      <c r="O30">
        <v>27.33551834987211</v>
      </c>
    </row>
    <row r="31" spans="1:15" hidden="1" x14ac:dyDescent="0.25">
      <c r="A31" t="s">
        <v>18</v>
      </c>
      <c r="C31" t="s">
        <v>56</v>
      </c>
      <c r="D31">
        <v>203.8999938964844</v>
      </c>
      <c r="E31" t="s">
        <v>57</v>
      </c>
      <c r="F31">
        <v>41</v>
      </c>
      <c r="G31">
        <v>21.737739999999999</v>
      </c>
      <c r="H31">
        <v>22.756695000000001</v>
      </c>
      <c r="I31" t="s">
        <v>17</v>
      </c>
      <c r="J31">
        <v>37.921999999999997</v>
      </c>
      <c r="K31">
        <v>115572998144</v>
      </c>
      <c r="L31">
        <v>31.118284681456949</v>
      </c>
      <c r="M31">
        <v>9.3800000000000008</v>
      </c>
      <c r="N31">
        <v>8.9600000000000009</v>
      </c>
      <c r="O31">
        <v>31.103518754216541</v>
      </c>
    </row>
    <row r="32" spans="1:15" hidden="1" x14ac:dyDescent="0.25">
      <c r="A32" t="s">
        <v>24</v>
      </c>
      <c r="C32" t="s">
        <v>58</v>
      </c>
      <c r="D32">
        <v>20.479999542236332</v>
      </c>
      <c r="E32" t="s">
        <v>26</v>
      </c>
      <c r="F32">
        <v>488</v>
      </c>
      <c r="G32">
        <v>7.0865049999999998</v>
      </c>
      <c r="H32">
        <v>7.447273</v>
      </c>
      <c r="I32" t="s">
        <v>17</v>
      </c>
      <c r="J32">
        <v>59.68</v>
      </c>
      <c r="K32">
        <v>1080999936</v>
      </c>
      <c r="L32">
        <v>11.026110850399389</v>
      </c>
      <c r="M32">
        <v>2.89</v>
      </c>
      <c r="N32">
        <v>2.75</v>
      </c>
      <c r="O32">
        <v>53.000983884134811</v>
      </c>
    </row>
    <row r="33" spans="1:15" hidden="1" x14ac:dyDescent="0.25">
      <c r="A33" t="s">
        <v>18</v>
      </c>
      <c r="C33" t="s">
        <v>59</v>
      </c>
      <c r="D33">
        <v>238.8800048828125</v>
      </c>
      <c r="E33" t="s">
        <v>18</v>
      </c>
      <c r="F33">
        <v>140</v>
      </c>
      <c r="G33">
        <v>25.71367</v>
      </c>
      <c r="H33">
        <v>29.564357999999999</v>
      </c>
      <c r="I33" t="s">
        <v>17</v>
      </c>
      <c r="J33">
        <v>69.115995999999996</v>
      </c>
      <c r="K33">
        <v>1444887003136</v>
      </c>
      <c r="L33">
        <v>42.481697237297887</v>
      </c>
      <c r="M33">
        <v>9.2899999999999991</v>
      </c>
      <c r="N33">
        <v>8.08</v>
      </c>
      <c r="O33">
        <v>43.050835739781448</v>
      </c>
    </row>
    <row r="34" spans="1:15" hidden="1" x14ac:dyDescent="0.25">
      <c r="A34" t="s">
        <v>24</v>
      </c>
      <c r="C34" t="s">
        <v>60</v>
      </c>
      <c r="D34">
        <v>44.580001831054688</v>
      </c>
      <c r="E34" t="s">
        <v>36</v>
      </c>
      <c r="F34">
        <v>359</v>
      </c>
      <c r="G34">
        <v>16.950571</v>
      </c>
      <c r="H34">
        <v>16.950571</v>
      </c>
      <c r="I34" t="s">
        <v>17</v>
      </c>
      <c r="J34">
        <v>32.450000000000003</v>
      </c>
      <c r="K34">
        <v>2654000128</v>
      </c>
      <c r="L34">
        <v>11.16721438560171</v>
      </c>
      <c r="M34">
        <v>2.63</v>
      </c>
      <c r="N34">
        <v>2.63</v>
      </c>
      <c r="O34">
        <v>19.05130104963688</v>
      </c>
    </row>
    <row r="35" spans="1:15" hidden="1" x14ac:dyDescent="0.25">
      <c r="A35" t="s">
        <v>41</v>
      </c>
      <c r="C35" t="s">
        <v>61</v>
      </c>
      <c r="D35">
        <v>49.529998779296882</v>
      </c>
      <c r="E35" t="s">
        <v>41</v>
      </c>
      <c r="F35">
        <v>3078</v>
      </c>
      <c r="G35">
        <v>7.1678724000000003</v>
      </c>
      <c r="H35">
        <v>8.3949149999999992</v>
      </c>
      <c r="I35" t="s">
        <v>17</v>
      </c>
      <c r="J35">
        <v>0</v>
      </c>
      <c r="K35">
        <v>6693464834048</v>
      </c>
      <c r="L35">
        <v>28.72103458590216</v>
      </c>
      <c r="M35">
        <v>6.91</v>
      </c>
      <c r="N35">
        <v>5.9</v>
      </c>
      <c r="O35">
        <v>29.69022721756469</v>
      </c>
    </row>
    <row r="36" spans="1:15" hidden="1" x14ac:dyDescent="0.25">
      <c r="A36" t="s">
        <v>21</v>
      </c>
      <c r="C36" t="s">
        <v>62</v>
      </c>
      <c r="D36">
        <v>65.819999694824219</v>
      </c>
      <c r="E36" t="s">
        <v>23</v>
      </c>
      <c r="F36">
        <v>620</v>
      </c>
      <c r="G36">
        <v>12.731140999999999</v>
      </c>
      <c r="H36">
        <v>12.302804</v>
      </c>
      <c r="I36" t="s">
        <v>17</v>
      </c>
      <c r="J36">
        <v>62.061</v>
      </c>
      <c r="K36">
        <v>8762999808</v>
      </c>
      <c r="L36">
        <v>43.25484806547454</v>
      </c>
      <c r="M36">
        <v>5.17</v>
      </c>
      <c r="N36">
        <v>5.35</v>
      </c>
      <c r="O36">
        <v>19.503102663931191</v>
      </c>
    </row>
    <row r="37" spans="1:15" hidden="1" x14ac:dyDescent="0.25">
      <c r="A37" t="s">
        <v>41</v>
      </c>
      <c r="C37" t="s">
        <v>63</v>
      </c>
      <c r="D37">
        <v>16.479999542236332</v>
      </c>
      <c r="E37" t="s">
        <v>41</v>
      </c>
      <c r="F37">
        <v>425</v>
      </c>
      <c r="G37">
        <v>9.3636359999999996</v>
      </c>
      <c r="H37">
        <v>17.531914</v>
      </c>
      <c r="I37" t="s">
        <v>17</v>
      </c>
      <c r="J37">
        <v>0</v>
      </c>
      <c r="K37">
        <v>10119000064</v>
      </c>
      <c r="L37">
        <v>32.249736812063553</v>
      </c>
      <c r="M37">
        <v>1.76</v>
      </c>
      <c r="N37">
        <v>0.94</v>
      </c>
      <c r="O37">
        <v>30.89016806516544</v>
      </c>
    </row>
    <row r="38" spans="1:15" hidden="1" x14ac:dyDescent="0.25">
      <c r="A38" t="s">
        <v>41</v>
      </c>
      <c r="C38" t="s">
        <v>64</v>
      </c>
      <c r="D38">
        <v>20.270000457763668</v>
      </c>
      <c r="E38" t="s">
        <v>41</v>
      </c>
      <c r="F38">
        <v>214</v>
      </c>
      <c r="G38">
        <v>9.2136359999999993</v>
      </c>
      <c r="H38">
        <v>19.304763999999999</v>
      </c>
      <c r="I38" t="s">
        <v>17</v>
      </c>
      <c r="J38">
        <v>0</v>
      </c>
      <c r="K38">
        <v>6051999744</v>
      </c>
      <c r="L38">
        <v>23.59086237853322</v>
      </c>
      <c r="M38">
        <v>2.2000000000000002</v>
      </c>
      <c r="N38">
        <v>1.05</v>
      </c>
      <c r="O38">
        <v>35.140934831594002</v>
      </c>
    </row>
    <row r="39" spans="1:15" hidden="1" x14ac:dyDescent="0.25">
      <c r="A39" t="s">
        <v>41</v>
      </c>
      <c r="C39" t="s">
        <v>65</v>
      </c>
      <c r="D39">
        <v>17.129999160766602</v>
      </c>
      <c r="E39" t="s">
        <v>41</v>
      </c>
      <c r="F39">
        <v>287</v>
      </c>
      <c r="G39">
        <v>13.814515</v>
      </c>
      <c r="H39">
        <v>41.780487000000001</v>
      </c>
      <c r="I39" t="s">
        <v>17</v>
      </c>
      <c r="J39">
        <v>0</v>
      </c>
      <c r="K39">
        <v>483675013120</v>
      </c>
      <c r="L39">
        <v>14.45341900173403</v>
      </c>
      <c r="M39">
        <v>1.24</v>
      </c>
      <c r="N39">
        <v>0.41</v>
      </c>
      <c r="O39">
        <v>33.717713686896509</v>
      </c>
    </row>
    <row r="40" spans="1:15" hidden="1" x14ac:dyDescent="0.25">
      <c r="A40" t="s">
        <v>66</v>
      </c>
      <c r="D40" t="s">
        <v>67</v>
      </c>
      <c r="E40" t="s">
        <v>30</v>
      </c>
      <c r="F40">
        <v>0</v>
      </c>
      <c r="G40" t="s">
        <v>17</v>
      </c>
      <c r="H40" t="s">
        <v>17</v>
      </c>
      <c r="I40" t="s">
        <v>17</v>
      </c>
      <c r="J40" t="s">
        <v>17</v>
      </c>
      <c r="K40" t="s">
        <v>17</v>
      </c>
      <c r="L40" t="s">
        <v>17</v>
      </c>
      <c r="M40" t="s">
        <v>17</v>
      </c>
      <c r="N40" t="s">
        <v>17</v>
      </c>
      <c r="O40" t="s">
        <v>17</v>
      </c>
    </row>
    <row r="41" spans="1:15" x14ac:dyDescent="0.25">
      <c r="A41" t="s">
        <v>68</v>
      </c>
      <c r="C41" t="s">
        <v>69</v>
      </c>
      <c r="D41">
        <v>15.090000152587891</v>
      </c>
      <c r="E41" t="s">
        <v>30</v>
      </c>
      <c r="F41" t="s">
        <v>17</v>
      </c>
      <c r="G41" t="s">
        <v>17</v>
      </c>
      <c r="H41" t="s">
        <v>17</v>
      </c>
      <c r="I41" t="s">
        <v>17</v>
      </c>
      <c r="J41" t="s">
        <v>17</v>
      </c>
      <c r="K41" t="s">
        <v>17</v>
      </c>
      <c r="L41" t="s">
        <v>17</v>
      </c>
      <c r="M41" t="s">
        <v>17</v>
      </c>
      <c r="N41" t="s">
        <v>17</v>
      </c>
      <c r="O41">
        <f>D41</f>
        <v>15.090000152587891</v>
      </c>
    </row>
    <row r="42" spans="1:15" hidden="1" x14ac:dyDescent="0.25">
      <c r="A42" t="s">
        <v>18</v>
      </c>
      <c r="C42" t="s">
        <v>70</v>
      </c>
      <c r="D42">
        <v>3.9900000095367432</v>
      </c>
      <c r="E42" t="s">
        <v>18</v>
      </c>
      <c r="F42" t="s">
        <v>17</v>
      </c>
      <c r="G42">
        <v>0.115118295</v>
      </c>
      <c r="H42">
        <v>-0.72282606000000005</v>
      </c>
      <c r="I42" t="s">
        <v>17</v>
      </c>
      <c r="J42">
        <v>-80.991</v>
      </c>
      <c r="K42">
        <v>-614300032</v>
      </c>
      <c r="L42">
        <v>-120.67624899812979</v>
      </c>
      <c r="M42">
        <v>34.659999999999997</v>
      </c>
      <c r="N42">
        <v>-5.52</v>
      </c>
      <c r="O42">
        <v>138.73604265756191</v>
      </c>
    </row>
    <row r="43" spans="1:15" hidden="1" x14ac:dyDescent="0.25">
      <c r="A43" t="s">
        <v>28</v>
      </c>
      <c r="C43" t="s">
        <v>71</v>
      </c>
      <c r="D43">
        <v>18.72599983215332</v>
      </c>
      <c r="E43" t="s">
        <v>30</v>
      </c>
      <c r="F43" t="s">
        <v>17</v>
      </c>
      <c r="G43" t="s">
        <v>17</v>
      </c>
      <c r="H43" t="s">
        <v>17</v>
      </c>
      <c r="I43" t="s">
        <v>17</v>
      </c>
      <c r="J43" t="s">
        <v>17</v>
      </c>
      <c r="K43" t="s">
        <v>17</v>
      </c>
      <c r="L43" t="s">
        <v>17</v>
      </c>
      <c r="M43" t="s">
        <v>17</v>
      </c>
      <c r="N43" t="s">
        <v>17</v>
      </c>
      <c r="O43">
        <v>12.24047549670594</v>
      </c>
    </row>
    <row r="44" spans="1:15" hidden="1" x14ac:dyDescent="0.25">
      <c r="A44" t="s">
        <v>72</v>
      </c>
      <c r="C44" t="s">
        <v>73</v>
      </c>
      <c r="D44">
        <v>6.1979999542236328</v>
      </c>
      <c r="E44" t="s">
        <v>30</v>
      </c>
      <c r="F44">
        <v>0</v>
      </c>
      <c r="G44" t="s">
        <v>17</v>
      </c>
      <c r="H44" t="s">
        <v>17</v>
      </c>
      <c r="I44" t="s">
        <v>17</v>
      </c>
      <c r="J44" t="s">
        <v>17</v>
      </c>
      <c r="K44" t="s">
        <v>17</v>
      </c>
      <c r="L44" t="s">
        <v>17</v>
      </c>
      <c r="M44" t="s">
        <v>17</v>
      </c>
      <c r="N44" t="s">
        <v>17</v>
      </c>
      <c r="O44">
        <v>2.5679790859345881</v>
      </c>
    </row>
    <row r="45" spans="1:15" hidden="1" x14ac:dyDescent="0.25">
      <c r="A45" t="s">
        <v>72</v>
      </c>
      <c r="C45" t="s">
        <v>74</v>
      </c>
      <c r="D45">
        <v>6.3249998092651367</v>
      </c>
      <c r="E45" t="s">
        <v>30</v>
      </c>
      <c r="F45">
        <v>0</v>
      </c>
      <c r="G45" t="s">
        <v>17</v>
      </c>
      <c r="H45" t="s">
        <v>17</v>
      </c>
      <c r="I45" t="s">
        <v>17</v>
      </c>
      <c r="J45" t="s">
        <v>17</v>
      </c>
      <c r="K45" t="s">
        <v>17</v>
      </c>
      <c r="L45" t="s">
        <v>17</v>
      </c>
      <c r="M45" t="s">
        <v>17</v>
      </c>
      <c r="N45" t="s">
        <v>17</v>
      </c>
      <c r="O45">
        <v>2.603494122551655</v>
      </c>
    </row>
    <row r="46" spans="1:15" hidden="1" x14ac:dyDescent="0.25">
      <c r="A46" t="s">
        <v>72</v>
      </c>
      <c r="C46" t="s">
        <v>75</v>
      </c>
      <c r="D46">
        <v>76.830001831054688</v>
      </c>
      <c r="E46" t="s">
        <v>30</v>
      </c>
      <c r="F46">
        <v>304</v>
      </c>
      <c r="G46">
        <v>15.814316</v>
      </c>
      <c r="H46" t="s">
        <v>17</v>
      </c>
      <c r="I46" t="s">
        <v>17</v>
      </c>
      <c r="J46" t="s">
        <v>17</v>
      </c>
      <c r="K46" t="s">
        <v>17</v>
      </c>
      <c r="L46" t="s">
        <v>17</v>
      </c>
      <c r="M46" t="s">
        <v>17</v>
      </c>
      <c r="N46" t="s">
        <v>17</v>
      </c>
      <c r="O46">
        <v>13.470578337591551</v>
      </c>
    </row>
    <row r="47" spans="1:15" hidden="1" x14ac:dyDescent="0.25">
      <c r="A47" t="s">
        <v>72</v>
      </c>
      <c r="C47" t="s">
        <v>76</v>
      </c>
      <c r="D47">
        <v>51.360000610351563</v>
      </c>
      <c r="E47" t="s">
        <v>30</v>
      </c>
      <c r="F47">
        <v>278</v>
      </c>
      <c r="G47">
        <v>15.669456500000001</v>
      </c>
      <c r="H47" t="s">
        <v>17</v>
      </c>
      <c r="I47" t="s">
        <v>17</v>
      </c>
      <c r="J47" t="s">
        <v>17</v>
      </c>
      <c r="K47" t="s">
        <v>17</v>
      </c>
      <c r="L47" t="s">
        <v>17</v>
      </c>
      <c r="M47" t="s">
        <v>17</v>
      </c>
      <c r="N47" t="s">
        <v>17</v>
      </c>
      <c r="O47">
        <v>18.045205964160129</v>
      </c>
    </row>
    <row r="48" spans="1:15" hidden="1" x14ac:dyDescent="0.25">
      <c r="A48" t="s">
        <v>77</v>
      </c>
      <c r="C48" t="s">
        <v>78</v>
      </c>
      <c r="D48">
        <v>45.080001831054688</v>
      </c>
      <c r="E48" t="s">
        <v>77</v>
      </c>
      <c r="F48">
        <v>613</v>
      </c>
      <c r="G48">
        <v>21.364930999999999</v>
      </c>
      <c r="H48">
        <v>11.326632999999999</v>
      </c>
      <c r="I48" t="s">
        <v>17</v>
      </c>
      <c r="J48">
        <v>29.631</v>
      </c>
      <c r="K48">
        <v>602676992</v>
      </c>
      <c r="L48">
        <v>13.44998752814737</v>
      </c>
      <c r="M48">
        <v>2.11</v>
      </c>
      <c r="N48">
        <v>3.98</v>
      </c>
      <c r="O48">
        <v>46.728514728461469</v>
      </c>
    </row>
    <row r="49" spans="1:15" hidden="1" x14ac:dyDescent="0.25">
      <c r="A49" t="s">
        <v>68</v>
      </c>
      <c r="C49" t="s">
        <v>79</v>
      </c>
      <c r="D49">
        <v>643.44000244140625</v>
      </c>
      <c r="E49" t="s">
        <v>30</v>
      </c>
      <c r="F49">
        <v>113</v>
      </c>
      <c r="G49">
        <v>27.320784</v>
      </c>
      <c r="H49" t="s">
        <v>17</v>
      </c>
      <c r="I49" t="s">
        <v>17</v>
      </c>
      <c r="J49" t="s">
        <v>17</v>
      </c>
      <c r="K49" t="s">
        <v>17</v>
      </c>
      <c r="L49" t="s">
        <v>17</v>
      </c>
      <c r="M49" t="s">
        <v>17</v>
      </c>
      <c r="N49" t="s">
        <v>17</v>
      </c>
      <c r="O49">
        <v>19.781457726672151</v>
      </c>
    </row>
    <row r="50" spans="1:15" hidden="1" x14ac:dyDescent="0.25">
      <c r="A50" t="s">
        <v>72</v>
      </c>
      <c r="C50" t="s">
        <v>80</v>
      </c>
      <c r="D50">
        <v>53.220001220703118</v>
      </c>
      <c r="E50" t="s">
        <v>30</v>
      </c>
      <c r="F50" t="s">
        <v>17</v>
      </c>
      <c r="G50" t="s">
        <v>17</v>
      </c>
      <c r="H50" t="s">
        <v>17</v>
      </c>
      <c r="I50" t="s">
        <v>17</v>
      </c>
      <c r="J50" t="s">
        <v>17</v>
      </c>
      <c r="K50" t="s">
        <v>17</v>
      </c>
      <c r="L50" t="s">
        <v>17</v>
      </c>
      <c r="M50" t="s">
        <v>17</v>
      </c>
      <c r="N50" t="s">
        <v>17</v>
      </c>
      <c r="O50">
        <v>44.805026182776693</v>
      </c>
    </row>
    <row r="51" spans="1:15" hidden="1" x14ac:dyDescent="0.25">
      <c r="A51" t="s">
        <v>72</v>
      </c>
      <c r="C51" t="s">
        <v>81</v>
      </c>
      <c r="D51">
        <v>18.271299362182621</v>
      </c>
      <c r="E51" t="s">
        <v>30</v>
      </c>
      <c r="F51" t="s">
        <v>17</v>
      </c>
      <c r="G51" t="s">
        <v>17</v>
      </c>
      <c r="H51" t="s">
        <v>17</v>
      </c>
      <c r="I51" t="s">
        <v>17</v>
      </c>
      <c r="J51" t="s">
        <v>17</v>
      </c>
      <c r="K51" t="s">
        <v>17</v>
      </c>
      <c r="L51" t="s">
        <v>17</v>
      </c>
      <c r="M51" t="s">
        <v>17</v>
      </c>
      <c r="N51" t="s">
        <v>17</v>
      </c>
      <c r="O51">
        <v>25.112411570309352</v>
      </c>
    </row>
    <row r="52" spans="1:15" hidden="1" x14ac:dyDescent="0.25">
      <c r="A52" t="s">
        <v>28</v>
      </c>
      <c r="C52" t="s">
        <v>82</v>
      </c>
      <c r="D52">
        <v>147.177001953125</v>
      </c>
      <c r="E52" t="s">
        <v>30</v>
      </c>
      <c r="F52" t="s">
        <v>17</v>
      </c>
      <c r="G52" t="s">
        <v>17</v>
      </c>
      <c r="H52" t="s">
        <v>17</v>
      </c>
      <c r="I52" t="s">
        <v>17</v>
      </c>
      <c r="J52" t="s">
        <v>17</v>
      </c>
      <c r="K52" t="s">
        <v>17</v>
      </c>
      <c r="L52" t="s">
        <v>17</v>
      </c>
      <c r="M52" t="s">
        <v>17</v>
      </c>
      <c r="N52" t="s">
        <v>17</v>
      </c>
      <c r="O52">
        <v>10.954418454178921</v>
      </c>
    </row>
    <row r="53" spans="1:15" hidden="1" x14ac:dyDescent="0.25">
      <c r="A53" t="s">
        <v>28</v>
      </c>
      <c r="C53" t="s">
        <v>83</v>
      </c>
      <c r="D53" t="s">
        <v>84</v>
      </c>
      <c r="E53" t="s">
        <v>30</v>
      </c>
      <c r="F53">
        <v>0</v>
      </c>
      <c r="G53" t="s">
        <v>17</v>
      </c>
      <c r="H53" t="s">
        <v>17</v>
      </c>
      <c r="I53" t="s">
        <v>17</v>
      </c>
      <c r="J53" t="s">
        <v>17</v>
      </c>
      <c r="K53" t="s">
        <v>17</v>
      </c>
      <c r="L53" t="s">
        <v>17</v>
      </c>
      <c r="M53" t="s">
        <v>17</v>
      </c>
      <c r="N53" t="s">
        <v>17</v>
      </c>
      <c r="O53" t="s">
        <v>17</v>
      </c>
    </row>
    <row r="54" spans="1:15" hidden="1" x14ac:dyDescent="0.25">
      <c r="A54" t="s">
        <v>72</v>
      </c>
      <c r="C54" t="s">
        <v>85</v>
      </c>
      <c r="D54">
        <v>22.440000534057621</v>
      </c>
      <c r="E54" t="s">
        <v>30</v>
      </c>
      <c r="F54">
        <v>0</v>
      </c>
      <c r="G54">
        <v>34.010292</v>
      </c>
      <c r="H54" t="s">
        <v>17</v>
      </c>
      <c r="I54" t="s">
        <v>17</v>
      </c>
      <c r="J54" t="s">
        <v>17</v>
      </c>
      <c r="K54" t="s">
        <v>17</v>
      </c>
      <c r="L54" t="s">
        <v>17</v>
      </c>
      <c r="M54" t="s">
        <v>17</v>
      </c>
      <c r="N54" t="s">
        <v>17</v>
      </c>
      <c r="O54">
        <v>25.393508186371779</v>
      </c>
    </row>
    <row r="55" spans="1:15" hidden="1" x14ac:dyDescent="0.25">
      <c r="A55" t="s">
        <v>72</v>
      </c>
      <c r="C55" t="s">
        <v>86</v>
      </c>
      <c r="D55">
        <v>73.44000244140625</v>
      </c>
      <c r="E55" t="s">
        <v>30</v>
      </c>
      <c r="F55">
        <v>377</v>
      </c>
      <c r="G55" t="s">
        <v>17</v>
      </c>
      <c r="H55" t="s">
        <v>17</v>
      </c>
      <c r="I55" t="s">
        <v>17</v>
      </c>
      <c r="J55" t="s">
        <v>17</v>
      </c>
      <c r="K55" t="s">
        <v>17</v>
      </c>
      <c r="L55" t="s">
        <v>17</v>
      </c>
      <c r="M55" t="s">
        <v>17</v>
      </c>
      <c r="N55" t="s">
        <v>17</v>
      </c>
      <c r="O55">
        <v>5.0084612475789312</v>
      </c>
    </row>
    <row r="56" spans="1:15" hidden="1" x14ac:dyDescent="0.25">
      <c r="A56" t="s">
        <v>66</v>
      </c>
      <c r="C56" t="s">
        <v>87</v>
      </c>
      <c r="D56" t="s">
        <v>84</v>
      </c>
      <c r="E56" t="s">
        <v>30</v>
      </c>
      <c r="F56">
        <v>0</v>
      </c>
      <c r="G56" t="s">
        <v>17</v>
      </c>
      <c r="H56" t="s">
        <v>17</v>
      </c>
      <c r="I56" t="s">
        <v>17</v>
      </c>
      <c r="J56" t="s">
        <v>17</v>
      </c>
      <c r="K56" t="s">
        <v>17</v>
      </c>
      <c r="L56" t="s">
        <v>17</v>
      </c>
      <c r="M56" t="s">
        <v>17</v>
      </c>
      <c r="N56" t="s">
        <v>17</v>
      </c>
      <c r="O56" t="s">
        <v>17</v>
      </c>
    </row>
    <row r="57" spans="1:15" hidden="1" x14ac:dyDescent="0.25">
      <c r="A57" t="s">
        <v>15</v>
      </c>
      <c r="C57" t="s">
        <v>88</v>
      </c>
      <c r="D57">
        <v>395.79000854492188</v>
      </c>
      <c r="E57" t="s">
        <v>15</v>
      </c>
      <c r="F57">
        <v>73</v>
      </c>
      <c r="G57">
        <v>16.608896000000001</v>
      </c>
      <c r="H57">
        <v>16.121794000000001</v>
      </c>
      <c r="I57" t="s">
        <v>17</v>
      </c>
      <c r="J57">
        <v>19.943999999999999</v>
      </c>
      <c r="K57">
        <v>5970999808</v>
      </c>
      <c r="L57">
        <v>8.213430251373973</v>
      </c>
      <c r="M57">
        <v>23.83</v>
      </c>
      <c r="N57">
        <v>24.55</v>
      </c>
      <c r="O57">
        <v>28.036629270798201</v>
      </c>
    </row>
    <row r="58" spans="1:15" hidden="1" x14ac:dyDescent="0.25">
      <c r="A58" t="s">
        <v>89</v>
      </c>
      <c r="C58" t="s">
        <v>90</v>
      </c>
      <c r="D58">
        <v>152.38999938964841</v>
      </c>
      <c r="E58" t="s">
        <v>89</v>
      </c>
      <c r="F58">
        <v>192</v>
      </c>
      <c r="G58">
        <v>21.194714999999999</v>
      </c>
      <c r="H58">
        <v>19.289873</v>
      </c>
      <c r="I58" t="s">
        <v>17</v>
      </c>
      <c r="J58">
        <v>23.555</v>
      </c>
      <c r="K58">
        <v>3939000064</v>
      </c>
      <c r="L58">
        <v>16.010894099950089</v>
      </c>
      <c r="M58">
        <v>7.19</v>
      </c>
      <c r="N58">
        <v>7.9</v>
      </c>
      <c r="O58">
        <v>28.943574193976151</v>
      </c>
    </row>
    <row r="59" spans="1:15" hidden="1" x14ac:dyDescent="0.25">
      <c r="A59" t="s">
        <v>18</v>
      </c>
      <c r="C59" t="s">
        <v>91</v>
      </c>
      <c r="D59">
        <v>177.16999816894531</v>
      </c>
      <c r="E59" t="s">
        <v>18</v>
      </c>
      <c r="F59" t="s">
        <v>17</v>
      </c>
      <c r="G59">
        <v>590.56664999999998</v>
      </c>
      <c r="H59">
        <v>376.95746000000003</v>
      </c>
      <c r="I59" t="s">
        <v>17</v>
      </c>
      <c r="J59">
        <v>17.375</v>
      </c>
      <c r="K59">
        <v>763292032</v>
      </c>
      <c r="L59">
        <v>22.184936181680779</v>
      </c>
      <c r="M59">
        <v>0.3</v>
      </c>
      <c r="N59">
        <v>0.47</v>
      </c>
      <c r="O59">
        <v>71.826711160229777</v>
      </c>
    </row>
    <row r="60" spans="1:15" hidden="1" x14ac:dyDescent="0.25">
      <c r="A60" t="s">
        <v>21</v>
      </c>
      <c r="C60" t="s">
        <v>92</v>
      </c>
      <c r="D60">
        <v>74.180000305175781</v>
      </c>
      <c r="E60" t="s">
        <v>32</v>
      </c>
      <c r="F60" t="s">
        <v>17</v>
      </c>
      <c r="G60">
        <v>16.782803999999999</v>
      </c>
      <c r="H60">
        <v>10.627507</v>
      </c>
      <c r="I60" t="s">
        <v>17</v>
      </c>
      <c r="J60">
        <v>15.827999999999999</v>
      </c>
      <c r="K60">
        <v>1013000000</v>
      </c>
      <c r="L60">
        <v>5.1177124712067892</v>
      </c>
      <c r="M60">
        <v>4.42</v>
      </c>
      <c r="N60">
        <v>6.98</v>
      </c>
      <c r="O60">
        <v>39.929992492705523</v>
      </c>
    </row>
    <row r="61" spans="1:15" hidden="1" x14ac:dyDescent="0.25">
      <c r="A61" t="s">
        <v>21</v>
      </c>
      <c r="C61" t="s">
        <v>93</v>
      </c>
      <c r="D61">
        <v>44.75</v>
      </c>
      <c r="E61" t="s">
        <v>32</v>
      </c>
      <c r="F61">
        <v>215</v>
      </c>
      <c r="G61">
        <v>18.491734999999998</v>
      </c>
      <c r="H61">
        <v>17.344961000000001</v>
      </c>
      <c r="I61" t="s">
        <v>17</v>
      </c>
      <c r="J61">
        <v>15.113</v>
      </c>
      <c r="K61">
        <v>919000000</v>
      </c>
      <c r="L61">
        <v>8.0374319497661482</v>
      </c>
      <c r="M61">
        <v>2.42</v>
      </c>
      <c r="N61">
        <v>2.58</v>
      </c>
      <c r="O61">
        <v>40.35149285636885</v>
      </c>
    </row>
    <row r="62" spans="1:15" hidden="1" x14ac:dyDescent="0.25">
      <c r="A62" t="s">
        <v>24</v>
      </c>
      <c r="C62" t="s">
        <v>94</v>
      </c>
      <c r="D62">
        <v>15.02000045776367</v>
      </c>
      <c r="E62" t="s">
        <v>36</v>
      </c>
      <c r="F62">
        <v>67</v>
      </c>
      <c r="G62">
        <v>13.907406999999999</v>
      </c>
      <c r="H62">
        <v>10.148649000000001</v>
      </c>
      <c r="I62" t="s">
        <v>17</v>
      </c>
      <c r="J62">
        <v>38.534999999999997</v>
      </c>
      <c r="K62">
        <v>2351000064</v>
      </c>
      <c r="L62">
        <v>9.614362834791228</v>
      </c>
      <c r="M62">
        <v>1.08</v>
      </c>
      <c r="N62">
        <v>1.48</v>
      </c>
      <c r="O62">
        <v>29.074871319927791</v>
      </c>
    </row>
    <row r="63" spans="1:15" hidden="1" x14ac:dyDescent="0.25">
      <c r="A63" t="s">
        <v>18</v>
      </c>
      <c r="C63" t="s">
        <v>95</v>
      </c>
      <c r="D63">
        <v>23.139999389648441</v>
      </c>
      <c r="E63" t="s">
        <v>18</v>
      </c>
      <c r="F63">
        <v>562</v>
      </c>
      <c r="G63" t="s">
        <v>17</v>
      </c>
      <c r="H63">
        <v>11.989637</v>
      </c>
      <c r="I63" t="s">
        <v>17</v>
      </c>
      <c r="J63">
        <v>3.5609999999999999</v>
      </c>
      <c r="K63">
        <v>-1873734016</v>
      </c>
      <c r="L63">
        <v>-2.255997845024639</v>
      </c>
      <c r="M63">
        <v>-5.0199999999999996</v>
      </c>
      <c r="N63">
        <v>1.93</v>
      </c>
      <c r="O63">
        <v>72.65798250054317</v>
      </c>
    </row>
    <row r="64" spans="1:15" hidden="1" x14ac:dyDescent="0.25">
      <c r="A64" t="s">
        <v>24</v>
      </c>
      <c r="C64" t="s">
        <v>96</v>
      </c>
      <c r="D64" t="s">
        <v>84</v>
      </c>
      <c r="E64" t="s">
        <v>30</v>
      </c>
      <c r="F64">
        <v>0</v>
      </c>
      <c r="G64" t="s">
        <v>17</v>
      </c>
      <c r="H64" t="s">
        <v>17</v>
      </c>
      <c r="I64" t="s">
        <v>17</v>
      </c>
      <c r="J64" t="s">
        <v>17</v>
      </c>
      <c r="K64" t="s">
        <v>17</v>
      </c>
      <c r="L64" t="s">
        <v>17</v>
      </c>
      <c r="M64" t="s">
        <v>17</v>
      </c>
      <c r="N64" t="s">
        <v>17</v>
      </c>
      <c r="O64" t="s">
        <v>17</v>
      </c>
    </row>
    <row r="65" spans="1:15" hidden="1" x14ac:dyDescent="0.25">
      <c r="A65" t="s">
        <v>18</v>
      </c>
      <c r="C65" t="s">
        <v>97</v>
      </c>
      <c r="D65">
        <v>12.55000019073486</v>
      </c>
      <c r="E65" t="s">
        <v>18</v>
      </c>
      <c r="F65" t="s">
        <v>17</v>
      </c>
      <c r="G65" t="s">
        <v>17</v>
      </c>
      <c r="H65">
        <v>4.3425602999999997</v>
      </c>
      <c r="I65" t="s">
        <v>17</v>
      </c>
      <c r="J65">
        <v>8.8730000000000011</v>
      </c>
      <c r="K65">
        <v>-10272000</v>
      </c>
      <c r="L65">
        <v>-0.17526250063880719</v>
      </c>
      <c r="M65">
        <v>-0.34</v>
      </c>
      <c r="N65">
        <v>2.89</v>
      </c>
      <c r="O65">
        <v>82.172415526498753</v>
      </c>
    </row>
    <row r="66" spans="1:15" hidden="1" x14ac:dyDescent="0.25">
      <c r="A66" t="s">
        <v>41</v>
      </c>
      <c r="C66" t="s">
        <v>98</v>
      </c>
      <c r="D66">
        <v>93.69000244140625</v>
      </c>
      <c r="E66" t="s">
        <v>41</v>
      </c>
      <c r="F66">
        <v>256</v>
      </c>
      <c r="G66">
        <v>13.838996</v>
      </c>
      <c r="H66">
        <v>13.030599</v>
      </c>
      <c r="I66" t="s">
        <v>17</v>
      </c>
      <c r="J66">
        <v>0</v>
      </c>
      <c r="K66">
        <v>12903999488</v>
      </c>
      <c r="L66">
        <v>17.719188154565511</v>
      </c>
      <c r="M66">
        <v>6.77</v>
      </c>
      <c r="N66">
        <v>7.19</v>
      </c>
      <c r="O66">
        <v>33.222800825878238</v>
      </c>
    </row>
    <row r="67" spans="1:15" hidden="1" x14ac:dyDescent="0.25">
      <c r="A67" t="s">
        <v>41</v>
      </c>
      <c r="C67" t="s">
        <v>99</v>
      </c>
      <c r="D67">
        <v>251.8800048828125</v>
      </c>
      <c r="E67" t="s">
        <v>41</v>
      </c>
      <c r="F67">
        <v>437</v>
      </c>
      <c r="G67">
        <v>12.500249</v>
      </c>
      <c r="H67">
        <v>12.179883999999999</v>
      </c>
      <c r="I67" t="s">
        <v>17</v>
      </c>
      <c r="J67">
        <v>0</v>
      </c>
      <c r="K67">
        <v>5767293952</v>
      </c>
      <c r="L67">
        <v>30.76192656777258</v>
      </c>
      <c r="M67">
        <v>20.149999999999999</v>
      </c>
      <c r="N67">
        <v>20.68</v>
      </c>
      <c r="O67">
        <v>23.099991624605771</v>
      </c>
    </row>
    <row r="68" spans="1:15" hidden="1" x14ac:dyDescent="0.25">
      <c r="A68" t="s">
        <v>41</v>
      </c>
      <c r="C68" t="s">
        <v>100</v>
      </c>
      <c r="D68">
        <v>317.54998779296881</v>
      </c>
      <c r="E68" t="s">
        <v>41</v>
      </c>
      <c r="F68" t="s">
        <v>17</v>
      </c>
      <c r="G68">
        <v>30.592483999999999</v>
      </c>
      <c r="H68">
        <v>88.949579999999997</v>
      </c>
      <c r="I68" t="s">
        <v>17</v>
      </c>
      <c r="J68">
        <v>30.122</v>
      </c>
      <c r="K68">
        <v>2860652032</v>
      </c>
      <c r="L68">
        <v>42.657831451507121</v>
      </c>
      <c r="M68">
        <v>10.38</v>
      </c>
      <c r="N68">
        <v>3.57</v>
      </c>
      <c r="O68">
        <v>86.667457095501092</v>
      </c>
    </row>
    <row r="69" spans="1:15" hidden="1" x14ac:dyDescent="0.25">
      <c r="A69" t="s">
        <v>21</v>
      </c>
      <c r="C69" t="s">
        <v>101</v>
      </c>
      <c r="D69">
        <v>49.650001525878913</v>
      </c>
      <c r="E69" t="s">
        <v>23</v>
      </c>
      <c r="F69">
        <v>491</v>
      </c>
      <c r="G69">
        <v>12.109756000000001</v>
      </c>
      <c r="H69">
        <v>10.563829999999999</v>
      </c>
      <c r="I69" t="s">
        <v>17</v>
      </c>
      <c r="J69">
        <v>20.035</v>
      </c>
      <c r="K69">
        <v>2284699904</v>
      </c>
      <c r="L69">
        <v>11.724467077620339</v>
      </c>
      <c r="M69">
        <v>4.0999999999999996</v>
      </c>
      <c r="N69">
        <v>4.7</v>
      </c>
      <c r="O69">
        <v>21.722377935742522</v>
      </c>
    </row>
  </sheetData>
  <autoFilter ref="A1:O69" xr:uid="{00000000-0001-0000-0000-000000000000}">
    <filterColumn colId="2">
      <filters>
        <filter val="^VIX"/>
      </filters>
    </filterColumn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Samuel Rodriguez Walton</cp:lastModifiedBy>
  <dcterms:created xsi:type="dcterms:W3CDTF">2025-08-16T13:25:46Z</dcterms:created>
  <dcterms:modified xsi:type="dcterms:W3CDTF">2025-08-18T02:08:14Z</dcterms:modified>
</cp:coreProperties>
</file>