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RodWal-Capital-Insights/Stock Analysis/"/>
    </mc:Choice>
  </mc:AlternateContent>
  <xr:revisionPtr revIDLastSave="0" documentId="8_{DF1DE030-5A84-49FD-AB70-E013B99CE8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sitions" sheetId="1" r:id="rId1"/>
    <sheet name="PBI Open Positions" sheetId="6" r:id="rId2"/>
    <sheet name="Stock Selection" sheetId="7" r:id="rId3"/>
    <sheet name="PVT" sheetId="3" r:id="rId4"/>
    <sheet name="Sheet3" sheetId="5" r:id="rId5"/>
    <sheet name="Sheet1" sheetId="4" r:id="rId6"/>
  </sheets>
  <externalReferences>
    <externalReference r:id="rId7"/>
  </externalReferences>
  <definedNames>
    <definedName name="_xlnm._FilterDatabase" localSheetId="0" hidden="1">Positions!$A$1:$X$63</definedName>
    <definedName name="_xlnm._FilterDatabase" localSheetId="5" hidden="1">Sheet1!$R$5:$U$42</definedName>
    <definedName name="_xlnm._FilterDatabase" localSheetId="2" hidden="1">'Stock Selection'!$A$1:$P$65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3" i="1" l="1"/>
  <c r="J63" i="1"/>
  <c r="F63" i="1"/>
  <c r="R63" i="1" s="1"/>
  <c r="T63" i="1" s="1"/>
  <c r="E63" i="1"/>
  <c r="O62" i="1"/>
  <c r="J62" i="1"/>
  <c r="F62" i="1"/>
  <c r="R62" i="1" s="1"/>
  <c r="T62" i="1" s="1"/>
  <c r="E6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2" i="1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2" i="7"/>
  <c r="J50" i="1"/>
  <c r="O50" i="1"/>
  <c r="J51" i="1"/>
  <c r="O51" i="1"/>
  <c r="J52" i="1"/>
  <c r="O52" i="1"/>
  <c r="J53" i="1"/>
  <c r="O53" i="1"/>
  <c r="J54" i="1"/>
  <c r="O54" i="1"/>
  <c r="J55" i="1"/>
  <c r="O55" i="1"/>
  <c r="J56" i="1"/>
  <c r="O56" i="1"/>
  <c r="J57" i="1"/>
  <c r="O57" i="1"/>
  <c r="J58" i="1"/>
  <c r="O58" i="1"/>
  <c r="J59" i="1"/>
  <c r="O59" i="1"/>
  <c r="J60" i="1"/>
  <c r="O60" i="1"/>
  <c r="J61" i="1"/>
  <c r="O6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2" i="1"/>
  <c r="F3" i="1"/>
  <c r="R3" i="1" s="1"/>
  <c r="T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R22" i="1" s="1"/>
  <c r="T22" i="1" s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6" i="1"/>
  <c r="F47" i="1"/>
  <c r="F48" i="1"/>
  <c r="F49" i="1"/>
  <c r="R49" i="1" s="1"/>
  <c r="T49" i="1" s="1"/>
  <c r="F50" i="1"/>
  <c r="F51" i="1"/>
  <c r="M51" i="1" s="1"/>
  <c r="F52" i="1"/>
  <c r="F53" i="1"/>
  <c r="M53" i="1" s="1"/>
  <c r="F54" i="1"/>
  <c r="R54" i="1" s="1"/>
  <c r="T54" i="1" s="1"/>
  <c r="F55" i="1"/>
  <c r="F56" i="1"/>
  <c r="R56" i="1" s="1"/>
  <c r="T56" i="1" s="1"/>
  <c r="F57" i="1"/>
  <c r="R57" i="1" s="1"/>
  <c r="T57" i="1" s="1"/>
  <c r="F58" i="1"/>
  <c r="F59" i="1"/>
  <c r="M59" i="1" s="1"/>
  <c r="F60" i="1"/>
  <c r="R60" i="1" s="1"/>
  <c r="T60" i="1" s="1"/>
  <c r="F61" i="1"/>
  <c r="F2" i="1"/>
  <c r="E7" i="1"/>
  <c r="E59" i="1"/>
  <c r="E47" i="1"/>
  <c r="E54" i="1"/>
  <c r="E53" i="1"/>
  <c r="E37" i="1"/>
  <c r="E3" i="1"/>
  <c r="G3" i="1" s="1"/>
  <c r="L3" i="1" s="1"/>
  <c r="E4" i="1"/>
  <c r="E5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8" i="1"/>
  <c r="E39" i="1"/>
  <c r="E40" i="1"/>
  <c r="E41" i="1"/>
  <c r="E42" i="1"/>
  <c r="E43" i="1"/>
  <c r="E44" i="1"/>
  <c r="E45" i="1"/>
  <c r="E46" i="1"/>
  <c r="E48" i="1"/>
  <c r="E49" i="1"/>
  <c r="E50" i="1"/>
  <c r="E51" i="1"/>
  <c r="E52" i="1"/>
  <c r="E55" i="1"/>
  <c r="E56" i="1"/>
  <c r="E57" i="1"/>
  <c r="E58" i="1"/>
  <c r="E60" i="1"/>
  <c r="E61" i="1"/>
  <c r="E2" i="1"/>
  <c r="J49" i="1"/>
  <c r="J48" i="1"/>
  <c r="DU14" i="3"/>
  <c r="DT14" i="3"/>
  <c r="DU13" i="3"/>
  <c r="DT13" i="3"/>
  <c r="DU12" i="3"/>
  <c r="DT12" i="3"/>
  <c r="DU11" i="3"/>
  <c r="DT11" i="3"/>
  <c r="DU10" i="3"/>
  <c r="DT10" i="3"/>
  <c r="DU9" i="3"/>
  <c r="DT9" i="3"/>
  <c r="DU8" i="3"/>
  <c r="DT8" i="3"/>
  <c r="DU7" i="3"/>
  <c r="DT7" i="3"/>
  <c r="DU6" i="3"/>
  <c r="DT6" i="3"/>
  <c r="DU5" i="3"/>
  <c r="DT5" i="3"/>
  <c r="DU4" i="3"/>
  <c r="DT4" i="3"/>
  <c r="J22" i="1"/>
  <c r="DJ14" i="3"/>
  <c r="DI14" i="3"/>
  <c r="DJ13" i="3"/>
  <c r="DI13" i="3"/>
  <c r="DJ12" i="3"/>
  <c r="DI12" i="3"/>
  <c r="DJ11" i="3"/>
  <c r="DI11" i="3"/>
  <c r="DJ10" i="3"/>
  <c r="DI10" i="3"/>
  <c r="DJ9" i="3"/>
  <c r="DI9" i="3"/>
  <c r="DJ8" i="3"/>
  <c r="DI8" i="3"/>
  <c r="DJ7" i="3"/>
  <c r="DI7" i="3"/>
  <c r="DJ6" i="3"/>
  <c r="DI6" i="3"/>
  <c r="DJ5" i="3"/>
  <c r="DI5" i="3"/>
  <c r="DJ4" i="3"/>
  <c r="DI4" i="3"/>
  <c r="J3" i="1"/>
  <c r="P62" i="1" l="1"/>
  <c r="M3" i="1"/>
  <c r="S3" i="1" s="1"/>
  <c r="P63" i="1"/>
  <c r="G60" i="1"/>
  <c r="L60" i="1" s="1"/>
  <c r="G22" i="1"/>
  <c r="L22" i="1" s="1"/>
  <c r="G63" i="1"/>
  <c r="L63" i="1" s="1"/>
  <c r="M22" i="1"/>
  <c r="S22" i="1" s="1"/>
  <c r="G62" i="1"/>
  <c r="L62" i="1" s="1"/>
  <c r="Q62" i="1"/>
  <c r="M49" i="1"/>
  <c r="S49" i="1" s="1"/>
  <c r="U49" i="1" s="1"/>
  <c r="M63" i="1"/>
  <c r="N63" i="1" s="1"/>
  <c r="Q63" i="1"/>
  <c r="M62" i="1"/>
  <c r="G56" i="1"/>
  <c r="L56" i="1" s="1"/>
  <c r="P60" i="1"/>
  <c r="G58" i="1"/>
  <c r="L58" i="1" s="1"/>
  <c r="P58" i="1"/>
  <c r="P55" i="1"/>
  <c r="P59" i="1"/>
  <c r="P54" i="1"/>
  <c r="G55" i="1"/>
  <c r="L55" i="1" s="1"/>
  <c r="P53" i="1"/>
  <c r="N53" i="1"/>
  <c r="G52" i="1"/>
  <c r="L52" i="1" s="1"/>
  <c r="P57" i="1"/>
  <c r="P52" i="1"/>
  <c r="P61" i="1"/>
  <c r="G50" i="1"/>
  <c r="L50" i="1" s="1"/>
  <c r="P56" i="1"/>
  <c r="P51" i="1"/>
  <c r="G61" i="1"/>
  <c r="L61" i="1" s="1"/>
  <c r="M56" i="1"/>
  <c r="N56" i="1" s="1"/>
  <c r="P50" i="1"/>
  <c r="N51" i="1"/>
  <c r="S51" i="1"/>
  <c r="N59" i="1"/>
  <c r="S59" i="1"/>
  <c r="M60" i="1"/>
  <c r="S60" i="1" s="1"/>
  <c r="U60" i="1" s="1"/>
  <c r="G59" i="1"/>
  <c r="L59" i="1" s="1"/>
  <c r="G53" i="1"/>
  <c r="L53" i="1" s="1"/>
  <c r="R52" i="1"/>
  <c r="T52" i="1" s="1"/>
  <c r="R61" i="1"/>
  <c r="T61" i="1" s="1"/>
  <c r="R58" i="1"/>
  <c r="T58" i="1" s="1"/>
  <c r="M54" i="1"/>
  <c r="G51" i="1"/>
  <c r="L51" i="1" s="1"/>
  <c r="M57" i="1"/>
  <c r="R55" i="1"/>
  <c r="T55" i="1" s="1"/>
  <c r="M52" i="1"/>
  <c r="S52" i="1" s="1"/>
  <c r="M61" i="1"/>
  <c r="N61" i="1" s="1"/>
  <c r="G54" i="1"/>
  <c r="L54" i="1" s="1"/>
  <c r="R50" i="1"/>
  <c r="T50" i="1" s="1"/>
  <c r="R59" i="1"/>
  <c r="T59" i="1" s="1"/>
  <c r="M58" i="1"/>
  <c r="G57" i="1"/>
  <c r="L57" i="1" s="1"/>
  <c r="M55" i="1"/>
  <c r="S55" i="1" s="1"/>
  <c r="R53" i="1"/>
  <c r="T53" i="1" s="1"/>
  <c r="M50" i="1"/>
  <c r="R51" i="1"/>
  <c r="T51" i="1" s="1"/>
  <c r="Q51" i="1"/>
  <c r="S53" i="1"/>
  <c r="G48" i="1"/>
  <c r="L48" i="1" s="1"/>
  <c r="G49" i="1"/>
  <c r="L49" i="1" s="1"/>
  <c r="P49" i="1"/>
  <c r="M48" i="1"/>
  <c r="S48" i="1" s="1"/>
  <c r="R48" i="1"/>
  <c r="T48" i="1" s="1"/>
  <c r="P48" i="1"/>
  <c r="N48" i="1"/>
  <c r="U22" i="1"/>
  <c r="P22" i="1"/>
  <c r="Q22" i="1" s="1"/>
  <c r="N22" i="1"/>
  <c r="U3" i="1"/>
  <c r="P3" i="1"/>
  <c r="Q3" i="1" s="1"/>
  <c r="N3" i="1"/>
  <c r="BF4" i="3"/>
  <c r="BG4" i="3"/>
  <c r="BQ4" i="3"/>
  <c r="BR4" i="3"/>
  <c r="CB4" i="3"/>
  <c r="CC4" i="3"/>
  <c r="CM4" i="3"/>
  <c r="CN4" i="3"/>
  <c r="BF5" i="3"/>
  <c r="BG5" i="3"/>
  <c r="BQ5" i="3"/>
  <c r="BR5" i="3"/>
  <c r="CB5" i="3"/>
  <c r="CC5" i="3"/>
  <c r="CM5" i="3"/>
  <c r="CN5" i="3"/>
  <c r="BF6" i="3"/>
  <c r="BG6" i="3"/>
  <c r="BQ6" i="3"/>
  <c r="BR6" i="3"/>
  <c r="CB6" i="3"/>
  <c r="CC6" i="3"/>
  <c r="CM6" i="3"/>
  <c r="CN6" i="3"/>
  <c r="BF7" i="3"/>
  <c r="BG7" i="3"/>
  <c r="BQ7" i="3"/>
  <c r="BR7" i="3"/>
  <c r="CB7" i="3"/>
  <c r="CC7" i="3"/>
  <c r="CM7" i="3"/>
  <c r="CN7" i="3"/>
  <c r="BF8" i="3"/>
  <c r="BG8" i="3"/>
  <c r="BQ8" i="3"/>
  <c r="BR8" i="3"/>
  <c r="CB8" i="3"/>
  <c r="CC8" i="3"/>
  <c r="CM8" i="3"/>
  <c r="CN8" i="3"/>
  <c r="BF9" i="3"/>
  <c r="BG9" i="3"/>
  <c r="BQ9" i="3"/>
  <c r="BR9" i="3"/>
  <c r="CB9" i="3"/>
  <c r="CC9" i="3"/>
  <c r="CM9" i="3"/>
  <c r="CN9" i="3"/>
  <c r="BF10" i="3"/>
  <c r="BG10" i="3"/>
  <c r="BQ10" i="3"/>
  <c r="BR10" i="3"/>
  <c r="CB10" i="3"/>
  <c r="CC10" i="3"/>
  <c r="CM10" i="3"/>
  <c r="CN10" i="3"/>
  <c r="BF11" i="3"/>
  <c r="BG11" i="3"/>
  <c r="BQ11" i="3"/>
  <c r="BR11" i="3"/>
  <c r="CB11" i="3"/>
  <c r="CC11" i="3"/>
  <c r="CM11" i="3"/>
  <c r="CN11" i="3"/>
  <c r="BF12" i="3"/>
  <c r="BG12" i="3"/>
  <c r="BQ12" i="3"/>
  <c r="BR12" i="3"/>
  <c r="CB12" i="3"/>
  <c r="CC12" i="3"/>
  <c r="CM12" i="3"/>
  <c r="CN12" i="3"/>
  <c r="P13" i="3"/>
  <c r="Z13" i="3"/>
  <c r="BF13" i="3"/>
  <c r="BG13" i="3"/>
  <c r="BQ13" i="3"/>
  <c r="BR13" i="3"/>
  <c r="CB13" i="3"/>
  <c r="CC13" i="3"/>
  <c r="CM13" i="3"/>
  <c r="CN13" i="3"/>
  <c r="AG14" i="3"/>
  <c r="AN14" i="3"/>
  <c r="BF14" i="3"/>
  <c r="BG14" i="3"/>
  <c r="BQ14" i="3"/>
  <c r="BR14" i="3"/>
  <c r="CB14" i="3"/>
  <c r="CC14" i="3"/>
  <c r="CM14" i="3"/>
  <c r="CN14" i="3"/>
  <c r="Q60" i="1" l="1"/>
  <c r="Q57" i="1"/>
  <c r="S56" i="1"/>
  <c r="U56" i="1" s="1"/>
  <c r="U52" i="1"/>
  <c r="S63" i="1"/>
  <c r="U63" i="1" s="1"/>
  <c r="N49" i="1"/>
  <c r="Q58" i="1"/>
  <c r="Q56" i="1"/>
  <c r="S62" i="1"/>
  <c r="U62" i="1" s="1"/>
  <c r="N62" i="1"/>
  <c r="Q52" i="1"/>
  <c r="U59" i="1"/>
  <c r="Q61" i="1"/>
  <c r="Q50" i="1"/>
  <c r="S61" i="1"/>
  <c r="U61" i="1" s="1"/>
  <c r="Q55" i="1"/>
  <c r="Q59" i="1"/>
  <c r="U51" i="1"/>
  <c r="N54" i="1"/>
  <c r="S54" i="1"/>
  <c r="U54" i="1" s="1"/>
  <c r="U53" i="1"/>
  <c r="U55" i="1"/>
  <c r="N52" i="1"/>
  <c r="Q54" i="1"/>
  <c r="N58" i="1"/>
  <c r="S58" i="1"/>
  <c r="U58" i="1" s="1"/>
  <c r="Q53" i="1"/>
  <c r="S57" i="1"/>
  <c r="U57" i="1" s="1"/>
  <c r="N57" i="1"/>
  <c r="N60" i="1"/>
  <c r="N50" i="1"/>
  <c r="S50" i="1"/>
  <c r="U50" i="1" s="1"/>
  <c r="Q48" i="1"/>
  <c r="N55" i="1"/>
  <c r="Q49" i="1"/>
  <c r="U48" i="1"/>
  <c r="CY14" i="3"/>
  <c r="CX14" i="3"/>
  <c r="CY13" i="3"/>
  <c r="CX13" i="3"/>
  <c r="CY12" i="3"/>
  <c r="CX12" i="3"/>
  <c r="CY11" i="3"/>
  <c r="CX11" i="3"/>
  <c r="CY10" i="3"/>
  <c r="CX10" i="3"/>
  <c r="CY9" i="3"/>
  <c r="CX9" i="3"/>
  <c r="CY8" i="3"/>
  <c r="CX8" i="3"/>
  <c r="CY7" i="3"/>
  <c r="CX7" i="3"/>
  <c r="CY6" i="3"/>
  <c r="CX6" i="3"/>
  <c r="CY5" i="3"/>
  <c r="CX5" i="3"/>
  <c r="CY4" i="3"/>
  <c r="CX4" i="3"/>
  <c r="CN2" i="3"/>
  <c r="CO2" i="3" s="1"/>
  <c r="P23" i="1"/>
  <c r="CC2" i="3"/>
  <c r="CD2" i="3" s="1"/>
  <c r="AG32" i="4"/>
  <c r="AG31" i="4"/>
  <c r="AG30" i="4"/>
  <c r="AG29" i="4"/>
  <c r="AG28" i="4"/>
  <c r="AG27" i="4"/>
  <c r="AG26" i="4"/>
  <c r="AG25" i="4"/>
  <c r="AG24" i="4"/>
  <c r="AG23" i="4"/>
  <c r="E34" i="4"/>
  <c r="E33" i="4"/>
  <c r="E32" i="4"/>
  <c r="E31" i="4"/>
  <c r="E30" i="4"/>
  <c r="E29" i="4"/>
  <c r="E28" i="4"/>
  <c r="E27" i="4"/>
  <c r="E26" i="4"/>
  <c r="E25" i="4"/>
  <c r="E24" i="4"/>
  <c r="AO15" i="4"/>
  <c r="AO14" i="4"/>
  <c r="AO13" i="4"/>
  <c r="AO12" i="4"/>
  <c r="AO11" i="4"/>
  <c r="AO10" i="4"/>
  <c r="AO9" i="4"/>
  <c r="AO8" i="4"/>
  <c r="AO7" i="4"/>
  <c r="AA7" i="4"/>
  <c r="CY2" i="3" l="1"/>
  <c r="CZ2" i="3" s="1"/>
  <c r="P25" i="1"/>
  <c r="P16" i="1"/>
  <c r="P5" i="1"/>
  <c r="P24" i="1"/>
  <c r="P15" i="1"/>
  <c r="P9" i="1"/>
  <c r="P20" i="1"/>
  <c r="P10" i="1"/>
  <c r="P4" i="1"/>
  <c r="P8" i="1"/>
  <c r="P26" i="1"/>
  <c r="P11" i="1"/>
  <c r="P6" i="1"/>
  <c r="P17" i="1"/>
  <c r="P13" i="1"/>
  <c r="P14" i="1"/>
  <c r="P21" i="1"/>
  <c r="P12" i="1"/>
  <c r="P2" i="1"/>
  <c r="AI8" i="4"/>
  <c r="AJ8" i="4" s="1"/>
  <c r="AI9" i="4"/>
  <c r="AJ9" i="4" s="1"/>
  <c r="AI10" i="4"/>
  <c r="AJ10" i="4" s="1"/>
  <c r="AI11" i="4"/>
  <c r="AJ11" i="4" s="1"/>
  <c r="AI12" i="4"/>
  <c r="AJ12" i="4" s="1"/>
  <c r="AI13" i="4"/>
  <c r="AJ13" i="4" s="1"/>
  <c r="AI14" i="4"/>
  <c r="AJ14" i="4" s="1"/>
  <c r="AI15" i="4"/>
  <c r="AJ15" i="4" s="1"/>
  <c r="AI16" i="4"/>
  <c r="AJ16" i="4" s="1"/>
  <c r="AI7" i="4"/>
  <c r="AJ7" i="4" s="1"/>
  <c r="AG16" i="4"/>
  <c r="AG15" i="4"/>
  <c r="AG14" i="4"/>
  <c r="AG13" i="4"/>
  <c r="AG12" i="4"/>
  <c r="AG11" i="4"/>
  <c r="AG10" i="4"/>
  <c r="AG9" i="4"/>
  <c r="AG8" i="4"/>
  <c r="AG7" i="4"/>
  <c r="AA16" i="4"/>
  <c r="AA15" i="4"/>
  <c r="AA14" i="4"/>
  <c r="AA13" i="4"/>
  <c r="AA12" i="4"/>
  <c r="AA11" i="4"/>
  <c r="AA10" i="4"/>
  <c r="AA9" i="4"/>
  <c r="AA8" i="4"/>
  <c r="BR2" i="3" l="1"/>
  <c r="BS2" i="3" s="1"/>
  <c r="BG2" i="3" l="1"/>
  <c r="BH2" i="3" s="1"/>
  <c r="U7" i="4" l="1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6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7" i="4"/>
  <c r="P6" i="4"/>
  <c r="R4" i="1"/>
  <c r="T4" i="1" s="1"/>
  <c r="M4" i="1"/>
  <c r="N4" i="1" s="1"/>
  <c r="J4" i="1"/>
  <c r="G4" i="1"/>
  <c r="L4" i="1" s="1"/>
  <c r="J7" i="4"/>
  <c r="J8" i="4"/>
  <c r="J9" i="4"/>
  <c r="J10" i="4"/>
  <c r="J11" i="4"/>
  <c r="J12" i="4"/>
  <c r="J13" i="4"/>
  <c r="J14" i="4"/>
  <c r="J15" i="4"/>
  <c r="J16" i="4"/>
  <c r="J6" i="4"/>
  <c r="E7" i="4"/>
  <c r="E8" i="4"/>
  <c r="E9" i="4"/>
  <c r="E10" i="4"/>
  <c r="E11" i="4"/>
  <c r="E12" i="4"/>
  <c r="E13" i="4"/>
  <c r="E14" i="4"/>
  <c r="E15" i="4"/>
  <c r="E16" i="4"/>
  <c r="E6" i="4"/>
  <c r="Q4" i="1" l="1"/>
  <c r="S4" i="1"/>
  <c r="U4" i="1" s="1"/>
  <c r="R7" i="1" l="1"/>
  <c r="T7" i="1" s="1"/>
  <c r="M7" i="1"/>
  <c r="S7" i="1" s="1"/>
  <c r="J7" i="1"/>
  <c r="G7" i="1"/>
  <c r="P7" i="1" s="1"/>
  <c r="R19" i="1"/>
  <c r="T19" i="1" s="1"/>
  <c r="M19" i="1"/>
  <c r="S19" i="1" s="1"/>
  <c r="J19" i="1"/>
  <c r="G19" i="1"/>
  <c r="P19" i="1" s="1"/>
  <c r="R18" i="1"/>
  <c r="T18" i="1" s="1"/>
  <c r="M18" i="1"/>
  <c r="S18" i="1" s="1"/>
  <c r="J18" i="1"/>
  <c r="G18" i="1"/>
  <c r="L18" i="1" l="1"/>
  <c r="P18" i="1"/>
  <c r="U7" i="1"/>
  <c r="L19" i="1"/>
  <c r="Q19" i="1"/>
  <c r="L7" i="1"/>
  <c r="Q7" i="1"/>
  <c r="Q18" i="1"/>
  <c r="U18" i="1"/>
  <c r="U19" i="1"/>
  <c r="N7" i="1"/>
  <c r="N19" i="1"/>
  <c r="N18" i="1"/>
  <c r="N5" i="1" l="1"/>
  <c r="N44" i="1"/>
  <c r="G10" i="1"/>
  <c r="H5" i="1"/>
  <c r="R5" i="1" s="1"/>
  <c r="T5" i="1" s="1"/>
  <c r="R31" i="1"/>
  <c r="T31" i="1" s="1"/>
  <c r="M31" i="1"/>
  <c r="S31" i="1" s="1"/>
  <c r="J31" i="1"/>
  <c r="G31" i="1"/>
  <c r="P31" i="1" s="1"/>
  <c r="R13" i="1"/>
  <c r="T13" i="1" s="1"/>
  <c r="M13" i="1"/>
  <c r="S13" i="1" s="1"/>
  <c r="J13" i="1"/>
  <c r="G13" i="1"/>
  <c r="R21" i="1"/>
  <c r="T21" i="1" s="1"/>
  <c r="M21" i="1"/>
  <c r="S21" i="1" s="1"/>
  <c r="J21" i="1"/>
  <c r="G21" i="1"/>
  <c r="S5" i="1"/>
  <c r="G5" i="1"/>
  <c r="R42" i="1"/>
  <c r="T42" i="1" s="1"/>
  <c r="M42" i="1"/>
  <c r="S42" i="1" s="1"/>
  <c r="J42" i="1"/>
  <c r="G42" i="1"/>
  <c r="P42" i="1" s="1"/>
  <c r="R27" i="1"/>
  <c r="T27" i="1" s="1"/>
  <c r="M27" i="1"/>
  <c r="S27" i="1" s="1"/>
  <c r="J27" i="1"/>
  <c r="G27" i="1"/>
  <c r="R36" i="1"/>
  <c r="T36" i="1" s="1"/>
  <c r="M36" i="1"/>
  <c r="S36" i="1" s="1"/>
  <c r="J36" i="1"/>
  <c r="G36" i="1"/>
  <c r="P36" i="1" s="1"/>
  <c r="M23" i="1"/>
  <c r="S23" i="1" s="1"/>
  <c r="M12" i="1"/>
  <c r="S12" i="1" s="1"/>
  <c r="J12" i="1"/>
  <c r="G12" i="1"/>
  <c r="R39" i="1"/>
  <c r="T39" i="1" s="1"/>
  <c r="G39" i="1"/>
  <c r="P39" i="1" s="1"/>
  <c r="M45" i="1"/>
  <c r="S45" i="1" s="1"/>
  <c r="M15" i="1"/>
  <c r="S15" i="1" s="1"/>
  <c r="R43" i="1"/>
  <c r="T43" i="1" s="1"/>
  <c r="H6" i="1"/>
  <c r="M6" i="1" s="1"/>
  <c r="S6" i="1" s="1"/>
  <c r="H37" i="1"/>
  <c r="J37" i="1" s="1"/>
  <c r="R46" i="1"/>
  <c r="T46" i="1" s="1"/>
  <c r="H2" i="1"/>
  <c r="J2" i="1" s="1"/>
  <c r="H8" i="1"/>
  <c r="M8" i="1" s="1"/>
  <c r="S8" i="1" s="1"/>
  <c r="R38" i="1"/>
  <c r="T38" i="1" s="1"/>
  <c r="J35" i="1"/>
  <c r="H20" i="1"/>
  <c r="R20" i="1" s="1"/>
  <c r="T20" i="1" s="1"/>
  <c r="M33" i="1"/>
  <c r="S33" i="1" s="1"/>
  <c r="M30" i="1"/>
  <c r="S30" i="1" s="1"/>
  <c r="R41" i="1"/>
  <c r="T41" i="1" s="1"/>
  <c r="R28" i="1"/>
  <c r="T28" i="1" s="1"/>
  <c r="M28" i="1"/>
  <c r="S28" i="1" s="1"/>
  <c r="J28" i="1"/>
  <c r="G28" i="1"/>
  <c r="P28" i="1" s="1"/>
  <c r="R34" i="1"/>
  <c r="T34" i="1" s="1"/>
  <c r="M34" i="1"/>
  <c r="S34" i="1" s="1"/>
  <c r="J34" i="1"/>
  <c r="G34" i="1"/>
  <c r="P34" i="1" s="1"/>
  <c r="J44" i="1"/>
  <c r="R44" i="1"/>
  <c r="T44" i="1" s="1"/>
  <c r="S44" i="1"/>
  <c r="G44" i="1"/>
  <c r="P44" i="1" s="1"/>
  <c r="R40" i="1"/>
  <c r="T40" i="1" s="1"/>
  <c r="M40" i="1"/>
  <c r="S40" i="1" s="1"/>
  <c r="J40" i="1"/>
  <c r="G40" i="1"/>
  <c r="P40" i="1" s="1"/>
  <c r="M24" i="1"/>
  <c r="S24" i="1" s="1"/>
  <c r="R24" i="1"/>
  <c r="T24" i="1" s="1"/>
  <c r="M17" i="1"/>
  <c r="S17" i="1" s="1"/>
  <c r="R17" i="1"/>
  <c r="T17" i="1" s="1"/>
  <c r="M25" i="1"/>
  <c r="S25" i="1" s="1"/>
  <c r="R25" i="1"/>
  <c r="T25" i="1" s="1"/>
  <c r="M14" i="1"/>
  <c r="S14" i="1" s="1"/>
  <c r="R14" i="1"/>
  <c r="T14" i="1" s="1"/>
  <c r="M11" i="1"/>
  <c r="S11" i="1" s="1"/>
  <c r="R11" i="1"/>
  <c r="T11" i="1" s="1"/>
  <c r="M26" i="1"/>
  <c r="S26" i="1" s="1"/>
  <c r="R26" i="1"/>
  <c r="T26" i="1" s="1"/>
  <c r="M32" i="1"/>
  <c r="S32" i="1" s="1"/>
  <c r="R32" i="1"/>
  <c r="T32" i="1" s="1"/>
  <c r="M29" i="1"/>
  <c r="S29" i="1" s="1"/>
  <c r="R29" i="1"/>
  <c r="T29" i="1" s="1"/>
  <c r="M16" i="1"/>
  <c r="S16" i="1" s="1"/>
  <c r="R16" i="1"/>
  <c r="T16" i="1" s="1"/>
  <c r="M9" i="1"/>
  <c r="S9" i="1" s="1"/>
  <c r="R9" i="1"/>
  <c r="T9" i="1" s="1"/>
  <c r="J24" i="1"/>
  <c r="J17" i="1"/>
  <c r="J25" i="1"/>
  <c r="J14" i="1"/>
  <c r="J11" i="1"/>
  <c r="J26" i="1"/>
  <c r="J32" i="1"/>
  <c r="J29" i="1"/>
  <c r="J16" i="1"/>
  <c r="J9" i="1"/>
  <c r="G29" i="1"/>
  <c r="P29" i="1" s="1"/>
  <c r="G25" i="1"/>
  <c r="G41" i="1"/>
  <c r="P41" i="1" s="1"/>
  <c r="G38" i="1"/>
  <c r="P38" i="1" s="1"/>
  <c r="G45" i="1"/>
  <c r="P45" i="1" s="1"/>
  <c r="G47" i="1"/>
  <c r="P47" i="1" s="1"/>
  <c r="G43" i="1"/>
  <c r="P43" i="1" s="1"/>
  <c r="G6" i="1"/>
  <c r="G46" i="1"/>
  <c r="P46" i="1" s="1"/>
  <c r="G17" i="1"/>
  <c r="G24" i="1"/>
  <c r="G30" i="1"/>
  <c r="P30" i="1" s="1"/>
  <c r="G37" i="1"/>
  <c r="P37" i="1" s="1"/>
  <c r="G33" i="1"/>
  <c r="P33" i="1" s="1"/>
  <c r="G14" i="1"/>
  <c r="G15" i="1"/>
  <c r="G23" i="1"/>
  <c r="G35" i="1"/>
  <c r="P35" i="1" s="1"/>
  <c r="G2" i="1"/>
  <c r="G16" i="1"/>
  <c r="G20" i="1"/>
  <c r="G9" i="1"/>
  <c r="G26" i="1"/>
  <c r="G11" i="1"/>
  <c r="G32" i="1"/>
  <c r="P32" i="1" s="1"/>
  <c r="G8" i="1"/>
  <c r="L2" i="1" l="1"/>
  <c r="Q2" i="1"/>
  <c r="L15" i="1"/>
  <c r="Q15" i="1"/>
  <c r="L8" i="1"/>
  <c r="Q8" i="1"/>
  <c r="L35" i="1"/>
  <c r="Q35" i="1"/>
  <c r="L28" i="1"/>
  <c r="Q28" i="1"/>
  <c r="L5" i="1"/>
  <c r="Q5" i="1"/>
  <c r="L38" i="1"/>
  <c r="Q38" i="1"/>
  <c r="L32" i="1"/>
  <c r="Q32" i="1"/>
  <c r="L29" i="1"/>
  <c r="Q29" i="1"/>
  <c r="L47" i="1"/>
  <c r="Q47" i="1"/>
  <c r="L40" i="1"/>
  <c r="Q40" i="1"/>
  <c r="L45" i="1"/>
  <c r="Q45" i="1"/>
  <c r="L27" i="1"/>
  <c r="P27" i="1"/>
  <c r="Q27" i="1" s="1"/>
  <c r="Q30" i="1"/>
  <c r="L30" i="1"/>
  <c r="L24" i="1"/>
  <c r="Q24" i="1"/>
  <c r="L39" i="1"/>
  <c r="Q39" i="1"/>
  <c r="Q13" i="1"/>
  <c r="L13" i="1"/>
  <c r="L31" i="1"/>
  <c r="Q31" i="1"/>
  <c r="L23" i="1"/>
  <c r="Q23" i="1"/>
  <c r="L36" i="1"/>
  <c r="Q36" i="1"/>
  <c r="L21" i="1"/>
  <c r="Q21" i="1"/>
  <c r="L33" i="1"/>
  <c r="Q33" i="1"/>
  <c r="L11" i="1"/>
  <c r="Q11" i="1"/>
  <c r="L26" i="1"/>
  <c r="Q26" i="1"/>
  <c r="L9" i="1"/>
  <c r="Q9" i="1"/>
  <c r="L17" i="1"/>
  <c r="Q17" i="1"/>
  <c r="L34" i="1"/>
  <c r="Q34" i="1"/>
  <c r="L14" i="1"/>
  <c r="Q14" i="1"/>
  <c r="L25" i="1"/>
  <c r="Q25" i="1"/>
  <c r="L44" i="1"/>
  <c r="Q44" i="1"/>
  <c r="L20" i="1"/>
  <c r="Q20" i="1"/>
  <c r="L46" i="1"/>
  <c r="Q46" i="1"/>
  <c r="L12" i="1"/>
  <c r="Q12" i="1"/>
  <c r="L42" i="1"/>
  <c r="Q42" i="1"/>
  <c r="L43" i="1"/>
  <c r="Q43" i="1"/>
  <c r="L41" i="1"/>
  <c r="Q41" i="1"/>
  <c r="L10" i="1"/>
  <c r="Q10" i="1"/>
  <c r="L37" i="1"/>
  <c r="Q37" i="1"/>
  <c r="L16" i="1"/>
  <c r="Q16" i="1"/>
  <c r="L6" i="1"/>
  <c r="Q6" i="1"/>
  <c r="N16" i="1"/>
  <c r="N8" i="1"/>
  <c r="N36" i="1"/>
  <c r="N31" i="1"/>
  <c r="N27" i="1"/>
  <c r="N28" i="1"/>
  <c r="N45" i="1"/>
  <c r="N21" i="1"/>
  <c r="N33" i="1"/>
  <c r="N14" i="1"/>
  <c r="N11" i="1"/>
  <c r="N26" i="1"/>
  <c r="N25" i="1"/>
  <c r="N13" i="1"/>
  <c r="N42" i="1"/>
  <c r="N17" i="1"/>
  <c r="N32" i="1"/>
  <c r="N23" i="1"/>
  <c r="N34" i="1"/>
  <c r="N24" i="1"/>
  <c r="N29" i="1"/>
  <c r="N30" i="1"/>
  <c r="N9" i="1"/>
  <c r="N40" i="1"/>
  <c r="N6" i="1"/>
  <c r="N12" i="1"/>
  <c r="N15" i="1"/>
  <c r="J8" i="1"/>
  <c r="R8" i="1"/>
  <c r="T8" i="1" s="1"/>
  <c r="U8" i="1" s="1"/>
  <c r="U21" i="1"/>
  <c r="U13" i="1"/>
  <c r="U31" i="1"/>
  <c r="J5" i="1"/>
  <c r="U5" i="1"/>
  <c r="R45" i="1"/>
  <c r="T45" i="1" s="1"/>
  <c r="U45" i="1" s="1"/>
  <c r="R15" i="1"/>
  <c r="T15" i="1" s="1"/>
  <c r="U15" i="1" s="1"/>
  <c r="U36" i="1"/>
  <c r="U42" i="1"/>
  <c r="U27" i="1"/>
  <c r="R12" i="1"/>
  <c r="T12" i="1" s="1"/>
  <c r="U12" i="1" s="1"/>
  <c r="M37" i="1"/>
  <c r="J15" i="1"/>
  <c r="J43" i="1"/>
  <c r="R37" i="1"/>
  <c r="T37" i="1" s="1"/>
  <c r="M46" i="1"/>
  <c r="J39" i="1"/>
  <c r="M39" i="1"/>
  <c r="R23" i="1"/>
  <c r="T23" i="1" s="1"/>
  <c r="U23" i="1" s="1"/>
  <c r="J23" i="1"/>
  <c r="M38" i="1"/>
  <c r="R2" i="1"/>
  <c r="T2" i="1" s="1"/>
  <c r="J45" i="1"/>
  <c r="J46" i="1"/>
  <c r="M35" i="1"/>
  <c r="J38" i="1"/>
  <c r="M43" i="1"/>
  <c r="R35" i="1"/>
  <c r="T35" i="1" s="1"/>
  <c r="J6" i="1"/>
  <c r="M2" i="1"/>
  <c r="R6" i="1"/>
  <c r="T6" i="1" s="1"/>
  <c r="U6" i="1" s="1"/>
  <c r="M20" i="1"/>
  <c r="J47" i="1"/>
  <c r="R47" i="1"/>
  <c r="T47" i="1" s="1"/>
  <c r="M47" i="1"/>
  <c r="J20" i="1"/>
  <c r="R30" i="1"/>
  <c r="T30" i="1" s="1"/>
  <c r="U30" i="1" s="1"/>
  <c r="J30" i="1"/>
  <c r="J33" i="1"/>
  <c r="R33" i="1"/>
  <c r="T33" i="1" s="1"/>
  <c r="U33" i="1" s="1"/>
  <c r="M41" i="1"/>
  <c r="J41" i="1"/>
  <c r="U44" i="1"/>
  <c r="U28" i="1"/>
  <c r="U34" i="1"/>
  <c r="U40" i="1"/>
  <c r="U32" i="1"/>
  <c r="U17" i="1"/>
  <c r="U26" i="1"/>
  <c r="U25" i="1"/>
  <c r="U9" i="1"/>
  <c r="U14" i="1"/>
  <c r="U29" i="1"/>
  <c r="U11" i="1"/>
  <c r="U16" i="1"/>
  <c r="U24" i="1"/>
  <c r="S35" i="1" l="1"/>
  <c r="U35" i="1" s="1"/>
  <c r="N35" i="1"/>
  <c r="S37" i="1"/>
  <c r="U37" i="1" s="1"/>
  <c r="N37" i="1"/>
  <c r="S47" i="1"/>
  <c r="U47" i="1" s="1"/>
  <c r="N47" i="1"/>
  <c r="S38" i="1"/>
  <c r="U38" i="1" s="1"/>
  <c r="N38" i="1"/>
  <c r="S20" i="1"/>
  <c r="U20" i="1" s="1"/>
  <c r="N20" i="1"/>
  <c r="S2" i="1"/>
  <c r="U2" i="1" s="1"/>
  <c r="N2" i="1"/>
  <c r="S41" i="1"/>
  <c r="U41" i="1" s="1"/>
  <c r="N41" i="1"/>
  <c r="S46" i="1"/>
  <c r="U46" i="1" s="1"/>
  <c r="N46" i="1"/>
  <c r="S39" i="1"/>
  <c r="U39" i="1" s="1"/>
  <c r="N39" i="1"/>
  <c r="S43" i="1"/>
  <c r="U43" i="1" s="1"/>
  <c r="N43" i="1"/>
  <c r="S10" i="1"/>
  <c r="H10" i="1"/>
  <c r="R10" i="1" s="1"/>
  <c r="T10" i="1" s="1"/>
  <c r="U10" i="1" s="1"/>
  <c r="N10" i="1"/>
  <c r="V3" i="1" l="1"/>
  <c r="V15" i="1"/>
  <c r="V27" i="1"/>
  <c r="V39" i="1"/>
  <c r="V51" i="1"/>
  <c r="V63" i="1"/>
  <c r="V31" i="1"/>
  <c r="V4" i="1"/>
  <c r="V16" i="1"/>
  <c r="V28" i="1"/>
  <c r="V40" i="1"/>
  <c r="V52" i="1"/>
  <c r="V2" i="1"/>
  <c r="V19" i="1"/>
  <c r="V5" i="1"/>
  <c r="V17" i="1"/>
  <c r="V29" i="1"/>
  <c r="V41" i="1"/>
  <c r="V53" i="1"/>
  <c r="V43" i="1"/>
  <c r="V6" i="1"/>
  <c r="V18" i="1"/>
  <c r="V30" i="1"/>
  <c r="V42" i="1"/>
  <c r="V54" i="1"/>
  <c r="V7" i="1"/>
  <c r="V55" i="1"/>
  <c r="V12" i="1"/>
  <c r="V36" i="1"/>
  <c r="V48" i="1"/>
  <c r="V60" i="1"/>
  <c r="V8" i="1"/>
  <c r="V20" i="1"/>
  <c r="V32" i="1"/>
  <c r="V44" i="1"/>
  <c r="V56" i="1"/>
  <c r="V24" i="1"/>
  <c r="V13" i="1"/>
  <c r="V25" i="1"/>
  <c r="V37" i="1"/>
  <c r="V49" i="1"/>
  <c r="V61" i="1"/>
  <c r="V9" i="1"/>
  <c r="V21" i="1"/>
  <c r="V33" i="1"/>
  <c r="V45" i="1"/>
  <c r="V57" i="1"/>
  <c r="V10" i="1"/>
  <c r="V22" i="1"/>
  <c r="V34" i="1"/>
  <c r="V46" i="1"/>
  <c r="V58" i="1"/>
  <c r="V11" i="1"/>
  <c r="V23" i="1"/>
  <c r="V35" i="1"/>
  <c r="V47" i="1"/>
  <c r="V59" i="1"/>
  <c r="V14" i="1"/>
  <c r="V26" i="1"/>
  <c r="V38" i="1"/>
  <c r="V50" i="1"/>
  <c r="V62" i="1"/>
  <c r="J10" i="1"/>
  <c r="K32" i="1"/>
  <c r="K18" i="1"/>
  <c r="K45" i="1"/>
  <c r="K27" i="1"/>
  <c r="K13" i="1"/>
  <c r="K24" i="1"/>
  <c r="K12" i="1"/>
  <c r="K34" i="1"/>
  <c r="K63" i="1" l="1"/>
  <c r="K62" i="1"/>
  <c r="K16" i="1"/>
  <c r="K29" i="1"/>
  <c r="K30" i="1"/>
  <c r="K38" i="1"/>
  <c r="K28" i="1"/>
  <c r="K9" i="1"/>
  <c r="K17" i="1"/>
  <c r="X63" i="1"/>
  <c r="W63" i="1"/>
  <c r="X62" i="1"/>
  <c r="W62" i="1"/>
  <c r="K26" i="1"/>
  <c r="K52" i="1"/>
  <c r="K54" i="1"/>
  <c r="K57" i="1"/>
  <c r="K53" i="1"/>
  <c r="K60" i="1"/>
  <c r="K55" i="1"/>
  <c r="K59" i="1"/>
  <c r="K61" i="1"/>
  <c r="K50" i="1"/>
  <c r="K51" i="1"/>
  <c r="K56" i="1"/>
  <c r="K58" i="1"/>
  <c r="W56" i="1"/>
  <c r="X52" i="1"/>
  <c r="W60" i="1"/>
  <c r="X56" i="1"/>
  <c r="W51" i="1"/>
  <c r="W52" i="1"/>
  <c r="X51" i="1"/>
  <c r="X60" i="1"/>
  <c r="W54" i="1"/>
  <c r="W50" i="1"/>
  <c r="X54" i="1"/>
  <c r="W55" i="1"/>
  <c r="X55" i="1"/>
  <c r="X53" i="1"/>
  <c r="W59" i="1"/>
  <c r="X59" i="1"/>
  <c r="X57" i="1"/>
  <c r="X61" i="1"/>
  <c r="X58" i="1"/>
  <c r="X50" i="1"/>
  <c r="W53" i="1"/>
  <c r="W57" i="1"/>
  <c r="W61" i="1"/>
  <c r="W58" i="1"/>
  <c r="K33" i="1"/>
  <c r="K4" i="1"/>
  <c r="K46" i="1"/>
  <c r="K15" i="1"/>
  <c r="K10" i="1"/>
  <c r="K49" i="1"/>
  <c r="K31" i="1"/>
  <c r="K47" i="1"/>
  <c r="K20" i="1"/>
  <c r="X49" i="1"/>
  <c r="W49" i="1"/>
  <c r="K22" i="1"/>
  <c r="K48" i="1"/>
  <c r="K8" i="1"/>
  <c r="K37" i="1"/>
  <c r="K23" i="1"/>
  <c r="W48" i="1"/>
  <c r="X48" i="1"/>
  <c r="K43" i="1"/>
  <c r="K6" i="1"/>
  <c r="K35" i="1"/>
  <c r="K7" i="1"/>
  <c r="K40" i="1"/>
  <c r="K42" i="1"/>
  <c r="K39" i="1"/>
  <c r="X22" i="1"/>
  <c r="W22" i="1"/>
  <c r="X46" i="1"/>
  <c r="X10" i="1"/>
  <c r="K41" i="1"/>
  <c r="K14" i="1"/>
  <c r="K2" i="1"/>
  <c r="K21" i="1"/>
  <c r="K19" i="1"/>
  <c r="K36" i="1"/>
  <c r="K11" i="1"/>
  <c r="K5" i="1"/>
  <c r="K3" i="1"/>
  <c r="K44" i="1"/>
  <c r="K25" i="1"/>
  <c r="X20" i="1"/>
  <c r="X4" i="1"/>
  <c r="X31" i="1"/>
  <c r="X27" i="1"/>
  <c r="X14" i="1"/>
  <c r="X35" i="1"/>
  <c r="X44" i="1"/>
  <c r="X33" i="1"/>
  <c r="X21" i="1"/>
  <c r="X19" i="1"/>
  <c r="X45" i="1"/>
  <c r="X29" i="1"/>
  <c r="X5" i="1"/>
  <c r="X12" i="1"/>
  <c r="X42" i="1"/>
  <c r="X15" i="1"/>
  <c r="X25" i="1"/>
  <c r="X32" i="1"/>
  <c r="X16" i="1"/>
  <c r="X11" i="1"/>
  <c r="X26" i="1"/>
  <c r="X36" i="1"/>
  <c r="X7" i="1"/>
  <c r="X43" i="1"/>
  <c r="X30" i="1"/>
  <c r="X9" i="1"/>
  <c r="X28" i="1"/>
  <c r="X13" i="1"/>
  <c r="X23" i="1"/>
  <c r="X34" i="1"/>
  <c r="X41" i="1"/>
  <c r="X18" i="1"/>
  <c r="X38" i="1"/>
  <c r="W27" i="1"/>
  <c r="W23" i="1"/>
  <c r="W7" i="1"/>
  <c r="W47" i="1"/>
  <c r="W21" i="1"/>
  <c r="W12" i="1"/>
  <c r="W38" i="1"/>
  <c r="W37" i="1"/>
  <c r="W33" i="1"/>
  <c r="W16" i="1"/>
  <c r="W42" i="1"/>
  <c r="W34" i="1"/>
  <c r="W28" i="1"/>
  <c r="W24" i="1"/>
  <c r="W36" i="1"/>
  <c r="W31" i="1"/>
  <c r="W44" i="1"/>
  <c r="X6" i="1"/>
  <c r="W14" i="1"/>
  <c r="W5" i="1"/>
  <c r="W41" i="1"/>
  <c r="W43" i="1"/>
  <c r="W29" i="1"/>
  <c r="W11" i="1"/>
  <c r="W45" i="1"/>
  <c r="W25" i="1"/>
  <c r="W40" i="1"/>
  <c r="W39" i="1"/>
  <c r="W10" i="1"/>
  <c r="W2" i="1"/>
  <c r="W19" i="1"/>
  <c r="W46" i="1"/>
  <c r="W35" i="1"/>
  <c r="W20" i="1"/>
  <c r="W3" i="1"/>
  <c r="W13" i="1"/>
  <c r="W4" i="1"/>
  <c r="W9" i="1"/>
  <c r="W30" i="1"/>
  <c r="W32" i="1"/>
  <c r="W26" i="1"/>
  <c r="W8" i="1"/>
  <c r="W17" i="1"/>
  <c r="W18" i="1"/>
  <c r="W6" i="1"/>
  <c r="W15" i="1"/>
  <c r="X39" i="1"/>
  <c r="X17" i="1"/>
  <c r="X47" i="1"/>
  <c r="X40" i="1"/>
  <c r="X8" i="1"/>
  <c r="X37" i="1"/>
  <c r="X24" i="1"/>
  <c r="X2" i="1"/>
  <c r="X3" i="1"/>
</calcChain>
</file>

<file path=xl/sharedStrings.xml><?xml version="1.0" encoding="utf-8"?>
<sst xmlns="http://schemas.openxmlformats.org/spreadsheetml/2006/main" count="1008" uniqueCount="229">
  <si>
    <t>Name</t>
  </si>
  <si>
    <t>Date</t>
  </si>
  <si>
    <t>Volume</t>
  </si>
  <si>
    <t>Price</t>
  </si>
  <si>
    <t>Value</t>
  </si>
  <si>
    <t>MO</t>
  </si>
  <si>
    <t>Altaria</t>
  </si>
  <si>
    <t>Visa</t>
  </si>
  <si>
    <t>Master Card</t>
  </si>
  <si>
    <t>QCOM</t>
  </si>
  <si>
    <t>QualComm2</t>
  </si>
  <si>
    <t>Microsoft</t>
  </si>
  <si>
    <t>MSFT</t>
  </si>
  <si>
    <t>AAPL</t>
  </si>
  <si>
    <t>Apple2</t>
  </si>
  <si>
    <t>Pepsi</t>
  </si>
  <si>
    <t>PEP</t>
  </si>
  <si>
    <t>GOOGL</t>
  </si>
  <si>
    <t>Google</t>
  </si>
  <si>
    <t>Kimberly Clark</t>
  </si>
  <si>
    <t>KMB</t>
  </si>
  <si>
    <t>TSMC</t>
  </si>
  <si>
    <t>TSM</t>
  </si>
  <si>
    <t>Nvidia</t>
  </si>
  <si>
    <t>NVDA</t>
  </si>
  <si>
    <t>V</t>
  </si>
  <si>
    <t>NextEra Energy</t>
  </si>
  <si>
    <t>NEE</t>
  </si>
  <si>
    <t>MA</t>
  </si>
  <si>
    <t>Applied Material</t>
  </si>
  <si>
    <t>AMAT</t>
  </si>
  <si>
    <t>Duke Energy</t>
  </si>
  <si>
    <t>DUK</t>
  </si>
  <si>
    <t>LVMH</t>
  </si>
  <si>
    <t>MC.PA</t>
  </si>
  <si>
    <t>Chapter</t>
  </si>
  <si>
    <t>Tech</t>
  </si>
  <si>
    <t>Banking</t>
  </si>
  <si>
    <t>US Consumer</t>
  </si>
  <si>
    <t>Asia Consumer</t>
  </si>
  <si>
    <t>Energy</t>
  </si>
  <si>
    <t>DAR</t>
  </si>
  <si>
    <t>MSG</t>
  </si>
  <si>
    <t>INGR</t>
  </si>
  <si>
    <t>CSIQ</t>
  </si>
  <si>
    <t>Canadian Solar</t>
  </si>
  <si>
    <t>FSLR</t>
  </si>
  <si>
    <t>First Solar</t>
  </si>
  <si>
    <t>JKS</t>
  </si>
  <si>
    <t>Jinko Solar</t>
  </si>
  <si>
    <t>MAXN</t>
  </si>
  <si>
    <t>Maxeon Solar</t>
  </si>
  <si>
    <t>SolarWinds</t>
  </si>
  <si>
    <t>SWI</t>
  </si>
  <si>
    <t>Walmart</t>
  </si>
  <si>
    <t>WMT</t>
  </si>
  <si>
    <t>YUMC</t>
  </si>
  <si>
    <t>Yum China Holding</t>
  </si>
  <si>
    <t>Yum! Brands</t>
  </si>
  <si>
    <t>YUM</t>
  </si>
  <si>
    <t>ASML</t>
  </si>
  <si>
    <t>Volatility</t>
  </si>
  <si>
    <t>Ranking</t>
  </si>
  <si>
    <t>Mix %</t>
  </si>
  <si>
    <t>Target Price</t>
  </si>
  <si>
    <t>Tolerance</t>
  </si>
  <si>
    <t>Unit Profit</t>
  </si>
  <si>
    <t>Unit Half Loss</t>
  </si>
  <si>
    <t>Balance Risk</t>
  </si>
  <si>
    <t>Normalized Risk</t>
  </si>
  <si>
    <t>Normalized Risk %</t>
  </si>
  <si>
    <t>Automotive</t>
  </si>
  <si>
    <t>Aptive Autoparts</t>
  </si>
  <si>
    <t>APTV</t>
  </si>
  <si>
    <t>Forex</t>
  </si>
  <si>
    <t>Mexican Peso</t>
  </si>
  <si>
    <t>Japan Yen</t>
  </si>
  <si>
    <t>Gold</t>
  </si>
  <si>
    <t>GC=F</t>
  </si>
  <si>
    <t>Risk Mix</t>
  </si>
  <si>
    <t>Ticker</t>
  </si>
  <si>
    <t>Palantir</t>
  </si>
  <si>
    <t>PLTR</t>
  </si>
  <si>
    <t>ING Group NV</t>
  </si>
  <si>
    <t>ING</t>
  </si>
  <si>
    <t>Industrials</t>
  </si>
  <si>
    <t>3M</t>
  </si>
  <si>
    <t>MMM</t>
  </si>
  <si>
    <t>Excelon</t>
  </si>
  <si>
    <t>EXC</t>
  </si>
  <si>
    <t>PCG</t>
  </si>
  <si>
    <t>PG&amp;E</t>
  </si>
  <si>
    <t>APA</t>
  </si>
  <si>
    <t>Expected Return QoQ%</t>
  </si>
  <si>
    <t>Health</t>
  </si>
  <si>
    <t>Agios</t>
  </si>
  <si>
    <t>ACI</t>
  </si>
  <si>
    <t>HCA</t>
  </si>
  <si>
    <t>AGIO</t>
  </si>
  <si>
    <t>Albertson Companies</t>
  </si>
  <si>
    <t>HCA Healthcare</t>
  </si>
  <si>
    <t>YPF</t>
  </si>
  <si>
    <t>Row Labels</t>
  </si>
  <si>
    <t>Grand Total</t>
  </si>
  <si>
    <t>Initial Volume $</t>
  </si>
  <si>
    <t>$%</t>
  </si>
  <si>
    <t>WK05</t>
  </si>
  <si>
    <t>WK05 Start</t>
  </si>
  <si>
    <t>Target Value</t>
  </si>
  <si>
    <t>Target Return %</t>
  </si>
  <si>
    <t>Target P&amp;L</t>
  </si>
  <si>
    <t>Actual P&amp;L vs LV</t>
  </si>
  <si>
    <t>WK50</t>
  </si>
  <si>
    <t>ETF</t>
  </si>
  <si>
    <t>VBTC.DE</t>
  </si>
  <si>
    <t>Return:</t>
  </si>
  <si>
    <t>Optimal</t>
  </si>
  <si>
    <t>Expected</t>
  </si>
  <si>
    <t>Portfolio</t>
  </si>
  <si>
    <t>Volatility:</t>
  </si>
  <si>
    <t>Delta</t>
  </si>
  <si>
    <t>Robotics &amp; AI</t>
  </si>
  <si>
    <t>Batterey Value-Chain</t>
  </si>
  <si>
    <t>Emergin Markets</t>
  </si>
  <si>
    <t>Bitcoin ETF</t>
  </si>
  <si>
    <t>Ingredion</t>
  </si>
  <si>
    <t>WK06</t>
  </si>
  <si>
    <t>%</t>
  </si>
  <si>
    <t>Consumer</t>
  </si>
  <si>
    <t>Close Price</t>
  </si>
  <si>
    <t>Actual Value</t>
  </si>
  <si>
    <t>Actual P&amp;L</t>
  </si>
  <si>
    <t>Actual Return %</t>
  </si>
  <si>
    <t xml:space="preserve">Actual P&amp;L </t>
  </si>
  <si>
    <t>WK07</t>
  </si>
  <si>
    <t>W/Avg Volatility</t>
  </si>
  <si>
    <t xml:space="preserve">Volatility </t>
  </si>
  <si>
    <t>WK08</t>
  </si>
  <si>
    <t>P&amp;L vs LV</t>
  </si>
  <si>
    <t>WK09</t>
  </si>
  <si>
    <t>Merged</t>
  </si>
  <si>
    <t>Risk Aversion:</t>
  </si>
  <si>
    <t>Avg</t>
  </si>
  <si>
    <t>Consider Dividend Kings</t>
  </si>
  <si>
    <t>Dividend</t>
  </si>
  <si>
    <t>*It dosent matter the individual returns when distributing a portafolio at max aversion.</t>
  </si>
  <si>
    <t>*Plan exit stragety for KMB, 7% profit</t>
  </si>
  <si>
    <t>*Good moment to buy as prices just droped</t>
  </si>
  <si>
    <t>P&amp;L% Delta</t>
  </si>
  <si>
    <t>P&amp;L vs Last Week</t>
  </si>
  <si>
    <t>DataFrame:</t>
  </si>
  <si>
    <t>Evaluate an exit stragety</t>
  </si>
  <si>
    <t>Ticker2</t>
  </si>
  <si>
    <t>(All)</t>
  </si>
  <si>
    <t>Weekly Return %</t>
  </si>
  <si>
    <t>Annual %</t>
  </si>
  <si>
    <t>Wkly</t>
  </si>
  <si>
    <t>Annual</t>
  </si>
  <si>
    <t>WK12</t>
  </si>
  <si>
    <t>WK11</t>
  </si>
  <si>
    <t>P&amp;L vs LW</t>
  </si>
  <si>
    <t>Vanguard Bonds</t>
  </si>
  <si>
    <t>WK14</t>
  </si>
  <si>
    <t>BARCLAYS</t>
  </si>
  <si>
    <t>BND</t>
  </si>
  <si>
    <t>VWO</t>
  </si>
  <si>
    <t>BCS</t>
  </si>
  <si>
    <t>WK18</t>
  </si>
  <si>
    <t>Unrealized Gains %</t>
  </si>
  <si>
    <t>Technology</t>
  </si>
  <si>
    <t>Consumer Defensive</t>
  </si>
  <si>
    <t>Financial Services</t>
  </si>
  <si>
    <t>Utilities</t>
  </si>
  <si>
    <t>Communication Services</t>
  </si>
  <si>
    <t>Healthcare</t>
  </si>
  <si>
    <t>Consumer Cyclical</t>
  </si>
  <si>
    <t>FOREX</t>
  </si>
  <si>
    <t>BBVA</t>
  </si>
  <si>
    <t>Energy &amp; Utilities</t>
  </si>
  <si>
    <t>BANCOLOMBIA</t>
  </si>
  <si>
    <t>CIB</t>
  </si>
  <si>
    <t>AEP</t>
  </si>
  <si>
    <t>AVGO</t>
  </si>
  <si>
    <t>GILD</t>
  </si>
  <si>
    <t>LEVI</t>
  </si>
  <si>
    <t>PANW</t>
  </si>
  <si>
    <t>SMFG</t>
  </si>
  <si>
    <t>SQM</t>
  </si>
  <si>
    <t>MISC</t>
  </si>
  <si>
    <t>Entry Value</t>
  </si>
  <si>
    <t>Entry %</t>
  </si>
  <si>
    <t>Open Price</t>
  </si>
  <si>
    <t>Market Price</t>
  </si>
  <si>
    <t>Market Value</t>
  </si>
  <si>
    <t>Unrealized Gains</t>
  </si>
  <si>
    <t>Gains %</t>
  </si>
  <si>
    <t>BOTZ.L</t>
  </si>
  <si>
    <t>BATT.AS</t>
  </si>
  <si>
    <t>BBVA.MC</t>
  </si>
  <si>
    <t>^VIX</t>
  </si>
  <si>
    <t>FLOA.L</t>
  </si>
  <si>
    <t>JPY=X</t>
  </si>
  <si>
    <t>MXN=X</t>
  </si>
  <si>
    <t>SDIA.L</t>
  </si>
  <si>
    <t>SHELL.AS</t>
  </si>
  <si>
    <t>SPY</t>
  </si>
  <si>
    <t>VHYD.L</t>
  </si>
  <si>
    <t>Sector</t>
  </si>
  <si>
    <t>GICS Sector</t>
  </si>
  <si>
    <t>Portfolio %</t>
  </si>
  <si>
    <t>Net Income %</t>
  </si>
  <si>
    <t>EBITDA Margin %</t>
  </si>
  <si>
    <t>EPS</t>
  </si>
  <si>
    <t>Forward EPS</t>
  </si>
  <si>
    <t>EPG Growth %</t>
  </si>
  <si>
    <t>PEG</t>
  </si>
  <si>
    <t>P/E</t>
  </si>
  <si>
    <t>Forward P/E</t>
  </si>
  <si>
    <t>Unknown</t>
  </si>
  <si>
    <t>Consumer Def &amp; Cyclical</t>
  </si>
  <si>
    <t>Basic Materials</t>
  </si>
  <si>
    <t>CFDs</t>
  </si>
  <si>
    <t>US30</t>
  </si>
  <si>
    <t>INDEX</t>
  </si>
  <si>
    <t>SWI.US</t>
  </si>
  <si>
    <t>BAP</t>
  </si>
  <si>
    <t>C</t>
  </si>
  <si>
    <t>(Blank)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</si>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</sst>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0"/>
    <numFmt numFmtId="165" formatCode="[$-F800]dddd\,\ mmmm\ dd\,\ yyyy"/>
    <numFmt numFmtId="166" formatCode="0.000%"/>
    <numFmt numFmtId="167" formatCode="0.00%;\-0.00%;0.00%"/>
    <numFmt numFmtId="168" formatCode="\$#,##0.00;\(\$#,##0.00\);\$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Aptos Narrow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theme="8" tint="-0.499984740745262"/>
      </patternFill>
    </fill>
    <fill>
      <patternFill patternType="solid">
        <fgColor theme="8" tint="0.79998168889431442"/>
        <bgColor theme="8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79998168889431442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44" fontId="0" fillId="0" borderId="0" xfId="1" applyFont="1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5" fontId="0" fillId="0" borderId="0" xfId="0" applyNumberFormat="1" applyAlignment="1">
      <alignment horizontal="left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4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7" borderId="0" xfId="0" applyFill="1"/>
    <xf numFmtId="44" fontId="0" fillId="0" borderId="0" xfId="2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2" fillId="8" borderId="1" xfId="0" applyFont="1" applyFill="1" applyBorder="1" applyAlignment="1">
      <alignment horizontal="center" vertical="center"/>
    </xf>
    <xf numFmtId="44" fontId="2" fillId="8" borderId="2" xfId="0" applyNumberFormat="1" applyFont="1" applyFill="1" applyBorder="1"/>
    <xf numFmtId="9" fontId="2" fillId="8" borderId="2" xfId="0" applyNumberFormat="1" applyFont="1" applyFill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8" borderId="1" xfId="0" applyFont="1" applyFill="1" applyBorder="1"/>
    <xf numFmtId="10" fontId="0" fillId="0" borderId="0" xfId="0" applyNumberFormat="1"/>
    <xf numFmtId="10" fontId="2" fillId="8" borderId="2" xfId="0" applyNumberFormat="1" applyFont="1" applyFill="1" applyBorder="1"/>
    <xf numFmtId="0" fontId="2" fillId="8" borderId="2" xfId="0" applyFont="1" applyFill="1" applyBorder="1" applyAlignment="1">
      <alignment horizontal="left"/>
    </xf>
    <xf numFmtId="0" fontId="0" fillId="9" borderId="0" xfId="0" applyFill="1"/>
    <xf numFmtId="0" fontId="0" fillId="0" borderId="3" xfId="0" applyBorder="1"/>
    <xf numFmtId="10" fontId="0" fillId="0" borderId="3" xfId="0" applyNumberFormat="1" applyBorder="1"/>
    <xf numFmtId="0" fontId="0" fillId="10" borderId="3" xfId="0" applyFill="1" applyBorder="1"/>
    <xf numFmtId="10" fontId="0" fillId="10" borderId="3" xfId="0" applyNumberFormat="1" applyFill="1" applyBorder="1"/>
    <xf numFmtId="0" fontId="0" fillId="7" borderId="3" xfId="0" applyFill="1" applyBorder="1"/>
    <xf numFmtId="10" fontId="0" fillId="7" borderId="3" xfId="0" applyNumberFormat="1" applyFill="1" applyBorder="1"/>
    <xf numFmtId="0" fontId="2" fillId="11" borderId="3" xfId="0" applyFont="1" applyFill="1" applyBorder="1"/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9" fontId="2" fillId="0" borderId="1" xfId="0" applyNumberFormat="1" applyFont="1" applyBorder="1"/>
    <xf numFmtId="10" fontId="2" fillId="0" borderId="1" xfId="0" applyNumberFormat="1" applyFont="1" applyBorder="1"/>
    <xf numFmtId="0" fontId="2" fillId="8" borderId="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11" borderId="4" xfId="0" applyFont="1" applyFill="1" applyBorder="1"/>
    <xf numFmtId="0" fontId="0" fillId="4" borderId="3" xfId="0" applyFill="1" applyBorder="1"/>
    <xf numFmtId="10" fontId="0" fillId="4" borderId="3" xfId="0" applyNumberFormat="1" applyFill="1" applyBorder="1"/>
    <xf numFmtId="0" fontId="0" fillId="0" borderId="5" xfId="0" applyBorder="1"/>
    <xf numFmtId="0" fontId="0" fillId="9" borderId="3" xfId="0" applyFill="1" applyBorder="1"/>
    <xf numFmtId="10" fontId="0" fillId="9" borderId="3" xfId="0" applyNumberFormat="1" applyFill="1" applyBorder="1"/>
    <xf numFmtId="10" fontId="2" fillId="0" borderId="1" xfId="2" applyNumberFormat="1" applyFont="1" applyBorder="1" applyAlignment="1">
      <alignment horizontal="center" vertical="center"/>
    </xf>
    <xf numFmtId="10" fontId="2" fillId="8" borderId="2" xfId="2" applyNumberFormat="1" applyFont="1" applyFill="1" applyBorder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3" fillId="12" borderId="6" xfId="0" applyFont="1" applyFill="1" applyBorder="1"/>
    <xf numFmtId="0" fontId="3" fillId="12" borderId="6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left"/>
    </xf>
    <xf numFmtId="44" fontId="2" fillId="13" borderId="7" xfId="0" applyNumberFormat="1" applyFont="1" applyFill="1" applyBorder="1"/>
    <xf numFmtId="9" fontId="2" fillId="13" borderId="7" xfId="0" applyNumberFormat="1" applyFont="1" applyFill="1" applyBorder="1"/>
    <xf numFmtId="10" fontId="2" fillId="13" borderId="7" xfId="0" applyNumberFormat="1" applyFont="1" applyFill="1" applyBorder="1"/>
    <xf numFmtId="0" fontId="3" fillId="12" borderId="8" xfId="0" applyFont="1" applyFill="1" applyBorder="1" applyAlignment="1">
      <alignment horizontal="left"/>
    </xf>
    <xf numFmtId="44" fontId="3" fillId="12" borderId="8" xfId="0" applyNumberFormat="1" applyFont="1" applyFill="1" applyBorder="1"/>
    <xf numFmtId="9" fontId="3" fillId="12" borderId="8" xfId="0" applyNumberFormat="1" applyFont="1" applyFill="1" applyBorder="1"/>
    <xf numFmtId="10" fontId="3" fillId="12" borderId="8" xfId="0" applyNumberFormat="1" applyFont="1" applyFill="1" applyBorder="1"/>
    <xf numFmtId="8" fontId="0" fillId="0" borderId="0" xfId="0" applyNumberFormat="1"/>
    <xf numFmtId="0" fontId="0" fillId="0" borderId="9" xfId="0" applyBorder="1"/>
    <xf numFmtId="167" fontId="0" fillId="0" borderId="0" xfId="0" applyNumberFormat="1"/>
    <xf numFmtId="168" fontId="0" fillId="0" borderId="0" xfId="0" applyNumberFormat="1"/>
    <xf numFmtId="0" fontId="4" fillId="0" borderId="0" xfId="0" applyFont="1"/>
    <xf numFmtId="167" fontId="4" fillId="0" borderId="0" xfId="0" applyNumberFormat="1" applyFont="1"/>
    <xf numFmtId="168" fontId="4" fillId="0" borderId="0" xfId="0" applyNumberFormat="1" applyFont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ill="1" applyBorder="1"/>
  </cellXfs>
  <cellStyles count="3">
    <cellStyle name="Currency" xfId="1" builtinId="4"/>
    <cellStyle name="Normal" xfId="0" builtinId="0"/>
    <cellStyle name="Percent" xfId="2" builtinId="5"/>
  </cellStyles>
  <dxfs count="8">
    <dxf>
      <alignment wrapText="1"/>
    </dxf>
    <dxf>
      <alignment horizontal="center"/>
    </dxf>
    <dxf>
      <alignment vertical="center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odwals-my.sharepoint.com/personal/samuel_rodwal_com/Documents/Professional_WorkTools/Github/RodWal-Capital-Insights/Stock%20Selection/OPEN%20POSITION.xlsx" TargetMode="External"/><Relationship Id="rId1" Type="http://schemas.openxmlformats.org/officeDocument/2006/relationships/externalLinkPath" Target="/personal/samuel_rodwal_com/Documents/Professional_WorkTools/Github/RodWal-Capital-Insights/Stock%20Selection/OPEN%20POSI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Symbol</v>
          </cell>
          <cell r="F1" t="str">
            <v>Open time</v>
          </cell>
        </row>
        <row r="2">
          <cell r="C2" t="str">
            <v>EXC</v>
          </cell>
          <cell r="F2">
            <v>45708.680226342593</v>
          </cell>
        </row>
        <row r="3">
          <cell r="C3" t="str">
            <v>KMB</v>
          </cell>
          <cell r="F3">
            <v>45693.851230567132</v>
          </cell>
        </row>
        <row r="4">
          <cell r="C4" t="str">
            <v>BOTZ.L</v>
          </cell>
          <cell r="F4">
            <v>45609.607695439823</v>
          </cell>
        </row>
        <row r="5">
          <cell r="C5" t="str">
            <v>MA</v>
          </cell>
          <cell r="F5">
            <v>45663.731156006943</v>
          </cell>
        </row>
        <row r="6">
          <cell r="C6" t="str">
            <v>KMB</v>
          </cell>
          <cell r="F6">
            <v>45825.893303171288</v>
          </cell>
        </row>
        <row r="7">
          <cell r="C7" t="str">
            <v>GOOGL</v>
          </cell>
          <cell r="F7">
            <v>45734.855767754627</v>
          </cell>
        </row>
        <row r="8">
          <cell r="C8" t="str">
            <v>MO</v>
          </cell>
          <cell r="F8">
            <v>45825.891134502323</v>
          </cell>
        </row>
        <row r="9">
          <cell r="C9" t="str">
            <v>INGR</v>
          </cell>
          <cell r="F9">
            <v>45692.866125740737</v>
          </cell>
        </row>
        <row r="10">
          <cell r="C10" t="str">
            <v>APA</v>
          </cell>
          <cell r="F10">
            <v>45716.857053749998</v>
          </cell>
        </row>
        <row r="11">
          <cell r="C11" t="str">
            <v>YPF</v>
          </cell>
          <cell r="F11">
            <v>45831.649647928243</v>
          </cell>
        </row>
        <row r="12">
          <cell r="C12" t="str">
            <v>BOTZ.L</v>
          </cell>
          <cell r="F12">
            <v>45646.600539791667</v>
          </cell>
        </row>
        <row r="13">
          <cell r="C13" t="str">
            <v>EXC</v>
          </cell>
          <cell r="F13">
            <v>45792.647329826388</v>
          </cell>
        </row>
        <row r="14">
          <cell r="C14" t="str">
            <v>BCS</v>
          </cell>
          <cell r="F14">
            <v>45818.800844837962</v>
          </cell>
        </row>
        <row r="15">
          <cell r="C15" t="str">
            <v>BCS</v>
          </cell>
          <cell r="F15">
            <v>45777.64668229167</v>
          </cell>
        </row>
        <row r="16">
          <cell r="C16" t="str">
            <v>KMB</v>
          </cell>
          <cell r="F16">
            <v>45568.773487233797</v>
          </cell>
        </row>
        <row r="17">
          <cell r="C17" t="str">
            <v>MA</v>
          </cell>
          <cell r="F17">
            <v>45828.651479247688</v>
          </cell>
        </row>
        <row r="18">
          <cell r="C18" t="str">
            <v>APA</v>
          </cell>
          <cell r="F18">
            <v>45751.723167129632</v>
          </cell>
        </row>
        <row r="19">
          <cell r="C19" t="str">
            <v>VWO</v>
          </cell>
          <cell r="F19">
            <v>45686.832722349543</v>
          </cell>
        </row>
        <row r="20">
          <cell r="C20" t="str">
            <v>ACI</v>
          </cell>
          <cell r="F20">
            <v>45792.647020150464</v>
          </cell>
        </row>
        <row r="21">
          <cell r="C21" t="str">
            <v>V</v>
          </cell>
          <cell r="F21">
            <v>45751.745008715283</v>
          </cell>
        </row>
        <row r="22">
          <cell r="C22" t="str">
            <v>BCS</v>
          </cell>
          <cell r="F22">
            <v>45783.831896134259</v>
          </cell>
        </row>
        <row r="23">
          <cell r="C23" t="str">
            <v>BCS</v>
          </cell>
          <cell r="F23">
            <v>45818.800829641201</v>
          </cell>
        </row>
        <row r="24">
          <cell r="C24" t="str">
            <v>ING</v>
          </cell>
          <cell r="F24">
            <v>45623.749522372687</v>
          </cell>
        </row>
        <row r="25">
          <cell r="C25" t="str">
            <v>MA</v>
          </cell>
          <cell r="F25">
            <v>45667.686647268521</v>
          </cell>
        </row>
        <row r="26">
          <cell r="C26" t="str">
            <v>BBVA.MC</v>
          </cell>
          <cell r="F26">
            <v>45827.661057743047</v>
          </cell>
        </row>
        <row r="27">
          <cell r="C27" t="str">
            <v>CIB</v>
          </cell>
          <cell r="F27">
            <v>45804.666372511572</v>
          </cell>
        </row>
        <row r="28">
          <cell r="C28" t="str">
            <v>V</v>
          </cell>
          <cell r="F28">
            <v>45826.762629120371</v>
          </cell>
        </row>
        <row r="29">
          <cell r="C29" t="str">
            <v>EXC</v>
          </cell>
          <cell r="F29">
            <v>45789.647871157409</v>
          </cell>
        </row>
        <row r="30">
          <cell r="C30" t="str">
            <v>MO</v>
          </cell>
          <cell r="F30">
            <v>45645.895116400461</v>
          </cell>
        </row>
        <row r="31">
          <cell r="C31" t="str">
            <v>APA</v>
          </cell>
          <cell r="F31">
            <v>45796.823469976851</v>
          </cell>
        </row>
        <row r="32">
          <cell r="C32" t="str">
            <v>FSLR</v>
          </cell>
          <cell r="F32">
            <v>45734.854894050928</v>
          </cell>
        </row>
        <row r="33">
          <cell r="C33" t="str">
            <v>TSM</v>
          </cell>
          <cell r="F33">
            <v>45716.855662187503</v>
          </cell>
        </row>
        <row r="34">
          <cell r="C34" t="str">
            <v>FSLR</v>
          </cell>
          <cell r="F34">
            <v>45785.661432118053</v>
          </cell>
        </row>
        <row r="35">
          <cell r="C35" t="str">
            <v>MA</v>
          </cell>
          <cell r="F35">
            <v>45645.901439305548</v>
          </cell>
        </row>
        <row r="36">
          <cell r="C36" t="str">
            <v>ING</v>
          </cell>
          <cell r="F36">
            <v>45804.66699503472</v>
          </cell>
        </row>
        <row r="37">
          <cell r="C37" t="str">
            <v>ING</v>
          </cell>
          <cell r="F37">
            <v>45751.742315636577</v>
          </cell>
        </row>
        <row r="38">
          <cell r="C38" t="str">
            <v>YPF</v>
          </cell>
          <cell r="F38">
            <v>45687.852284930559</v>
          </cell>
        </row>
        <row r="39">
          <cell r="C39" t="str">
            <v>BATT.AS</v>
          </cell>
          <cell r="F39">
            <v>45484.678773298612</v>
          </cell>
        </row>
        <row r="40">
          <cell r="C40" t="str">
            <v>YUM</v>
          </cell>
          <cell r="F40">
            <v>45826.764790011577</v>
          </cell>
        </row>
        <row r="41">
          <cell r="C41" t="str">
            <v>ACI</v>
          </cell>
          <cell r="F41">
            <v>45825.890558877312</v>
          </cell>
        </row>
        <row r="42">
          <cell r="C42" t="str">
            <v>MO</v>
          </cell>
          <cell r="F42">
            <v>45553.653741388887</v>
          </cell>
        </row>
        <row r="43">
          <cell r="C43" t="str">
            <v>YUM</v>
          </cell>
          <cell r="F43">
            <v>45818.801652245369</v>
          </cell>
        </row>
        <row r="44">
          <cell r="C44" t="str">
            <v>PEP</v>
          </cell>
          <cell r="F44">
            <v>45693.850933912043</v>
          </cell>
        </row>
        <row r="45">
          <cell r="C45" t="str">
            <v>APA</v>
          </cell>
          <cell r="F45">
            <v>45755.880551122682</v>
          </cell>
        </row>
        <row r="46">
          <cell r="C46" t="str">
            <v>NEE</v>
          </cell>
          <cell r="F46">
            <v>45628.859291527777</v>
          </cell>
        </row>
        <row r="47">
          <cell r="C47" t="str">
            <v>PEP</v>
          </cell>
          <cell r="F47">
            <v>45825.893150555552</v>
          </cell>
        </row>
        <row r="48">
          <cell r="C48" t="str">
            <v>YPF</v>
          </cell>
          <cell r="F48">
            <v>45678.831781967587</v>
          </cell>
        </row>
        <row r="49">
          <cell r="C49" t="str">
            <v>ACI</v>
          </cell>
          <cell r="F49">
            <v>45818.801357002318</v>
          </cell>
        </row>
        <row r="50">
          <cell r="C50" t="str">
            <v>APA</v>
          </cell>
          <cell r="F50">
            <v>45783.831252442127</v>
          </cell>
        </row>
        <row r="51">
          <cell r="C51" t="str">
            <v>BCS</v>
          </cell>
          <cell r="F51">
            <v>45764.854515208332</v>
          </cell>
        </row>
        <row r="52">
          <cell r="C52" t="str">
            <v>BATT.AS</v>
          </cell>
          <cell r="F52">
            <v>45659.426447523147</v>
          </cell>
        </row>
        <row r="53">
          <cell r="C53" t="str">
            <v>VWO</v>
          </cell>
          <cell r="F53">
            <v>45716.856388611108</v>
          </cell>
        </row>
        <row r="54">
          <cell r="C54" t="str">
            <v>TSM</v>
          </cell>
          <cell r="F54">
            <v>45727.87214378472</v>
          </cell>
        </row>
        <row r="55">
          <cell r="C55" t="str">
            <v>PEP</v>
          </cell>
          <cell r="F55">
            <v>45818.802655833337</v>
          </cell>
        </row>
        <row r="56">
          <cell r="C56" t="str">
            <v>YPF</v>
          </cell>
          <cell r="F56">
            <v>45783.830575046297</v>
          </cell>
        </row>
        <row r="57">
          <cell r="C57" t="str">
            <v>C</v>
          </cell>
          <cell r="F57">
            <v>45818.90866184028</v>
          </cell>
        </row>
        <row r="58">
          <cell r="C58" t="str">
            <v>BND</v>
          </cell>
          <cell r="F58">
            <v>45751.74534789352</v>
          </cell>
        </row>
        <row r="59">
          <cell r="C59" t="str">
            <v>KMB</v>
          </cell>
          <cell r="F59">
            <v>45695.854636828713</v>
          </cell>
        </row>
        <row r="60">
          <cell r="C60" t="str">
            <v>BOTZ.L</v>
          </cell>
          <cell r="F60">
            <v>45482.712945567131</v>
          </cell>
        </row>
        <row r="61">
          <cell r="C61" t="str">
            <v>APA</v>
          </cell>
          <cell r="F61">
            <v>45663.735625254631</v>
          </cell>
        </row>
        <row r="62">
          <cell r="C62" t="str">
            <v>BBVA.MC</v>
          </cell>
          <cell r="F62">
            <v>45805.661808113429</v>
          </cell>
        </row>
        <row r="63">
          <cell r="C63" t="str">
            <v>BBVA.MC</v>
          </cell>
          <cell r="F63">
            <v>45827.661066134257</v>
          </cell>
        </row>
        <row r="64">
          <cell r="C64" t="str">
            <v>APA</v>
          </cell>
          <cell r="F64">
            <v>45695.855306759258</v>
          </cell>
        </row>
        <row r="65">
          <cell r="C65" t="str">
            <v>BND</v>
          </cell>
          <cell r="F65">
            <v>45743.773895555547</v>
          </cell>
        </row>
        <row r="66">
          <cell r="C66" t="str">
            <v>PEP</v>
          </cell>
          <cell r="F66">
            <v>45628.859519270831</v>
          </cell>
        </row>
        <row r="67">
          <cell r="C67" t="str">
            <v>PEP</v>
          </cell>
          <cell r="F67">
            <v>45792.647141481481</v>
          </cell>
        </row>
        <row r="68">
          <cell r="C68" t="str">
            <v>AGIO</v>
          </cell>
          <cell r="F68">
            <v>45805.662107557873</v>
          </cell>
        </row>
        <row r="69">
          <cell r="C69" t="str">
            <v>FSLR</v>
          </cell>
          <cell r="F69">
            <v>45783.831096550923</v>
          </cell>
        </row>
        <row r="70">
          <cell r="C70" t="str">
            <v>PEP</v>
          </cell>
          <cell r="F70">
            <v>45597.610148495369</v>
          </cell>
        </row>
        <row r="71">
          <cell r="C71" t="str">
            <v>PEP</v>
          </cell>
          <cell r="F71">
            <v>45460.885290520833</v>
          </cell>
        </row>
        <row r="72">
          <cell r="C72" t="str">
            <v>VWO</v>
          </cell>
          <cell r="F72">
            <v>45743.761067268519</v>
          </cell>
        </row>
        <row r="73">
          <cell r="C73" t="str">
            <v>MO</v>
          </cell>
          <cell r="F73">
            <v>45792.648051956021</v>
          </cell>
        </row>
        <row r="74">
          <cell r="C74" t="str">
            <v>BBVA.MC</v>
          </cell>
          <cell r="F74">
            <v>45805.661814004627</v>
          </cell>
        </row>
        <row r="75">
          <cell r="C75" t="str">
            <v>YPF</v>
          </cell>
          <cell r="F75">
            <v>45708.682070925926</v>
          </cell>
        </row>
        <row r="76">
          <cell r="C76" t="str">
            <v>YPF</v>
          </cell>
          <cell r="F76">
            <v>45685.836252013891</v>
          </cell>
        </row>
        <row r="77">
          <cell r="C77" t="str">
            <v>ING</v>
          </cell>
          <cell r="F77">
            <v>45623.749511168979</v>
          </cell>
        </row>
        <row r="78">
          <cell r="C78" t="str">
            <v>YPF</v>
          </cell>
          <cell r="F78">
            <v>45663.737502638891</v>
          </cell>
        </row>
        <row r="79">
          <cell r="C79" t="str">
            <v>BBVA.MC</v>
          </cell>
          <cell r="F79">
            <v>45819.674262141198</v>
          </cell>
        </row>
        <row r="80">
          <cell r="C80" t="str">
            <v>YUM</v>
          </cell>
          <cell r="F80">
            <v>45825.892227141201</v>
          </cell>
        </row>
        <row r="81">
          <cell r="C81" t="str">
            <v>YPF</v>
          </cell>
          <cell r="F81">
            <v>45699.851521990742</v>
          </cell>
        </row>
        <row r="82">
          <cell r="C82" t="str">
            <v>PEP</v>
          </cell>
          <cell r="F82">
            <v>45630.855834282411</v>
          </cell>
        </row>
        <row r="83">
          <cell r="C83" t="str">
            <v>FSLR</v>
          </cell>
          <cell r="F83">
            <v>45727.871675949071</v>
          </cell>
        </row>
        <row r="84">
          <cell r="C84" t="str">
            <v>BCS</v>
          </cell>
          <cell r="F84">
            <v>45804.667256782413</v>
          </cell>
        </row>
        <row r="85">
          <cell r="C85" t="str">
            <v>ING</v>
          </cell>
          <cell r="F85">
            <v>45708.68165298611</v>
          </cell>
        </row>
        <row r="86">
          <cell r="C86" t="str">
            <v>NEE</v>
          </cell>
          <cell r="F86">
            <v>45804.665971493057</v>
          </cell>
        </row>
        <row r="87">
          <cell r="C87" t="str">
            <v>ING</v>
          </cell>
          <cell r="F87">
            <v>45751.742301736107</v>
          </cell>
        </row>
        <row r="88">
          <cell r="C88" t="str">
            <v>ACI</v>
          </cell>
          <cell r="F88">
            <v>45706.870268333332</v>
          </cell>
        </row>
        <row r="89">
          <cell r="C89" t="str">
            <v>NEE</v>
          </cell>
          <cell r="F89">
            <v>45511.860491932872</v>
          </cell>
        </row>
        <row r="90">
          <cell r="C90" t="str">
            <v>AAPL</v>
          </cell>
          <cell r="F90">
            <v>45582.739968923612</v>
          </cell>
        </row>
        <row r="91">
          <cell r="C91" t="str">
            <v>NEE</v>
          </cell>
          <cell r="F91">
            <v>45706.871214224528</v>
          </cell>
        </row>
        <row r="92">
          <cell r="C92" t="str">
            <v>FSLR</v>
          </cell>
          <cell r="F92">
            <v>45825.891695625003</v>
          </cell>
        </row>
        <row r="93">
          <cell r="C93" t="str">
            <v>BAP</v>
          </cell>
          <cell r="F93">
            <v>45818.908350717589</v>
          </cell>
        </row>
        <row r="94">
          <cell r="C94" t="str">
            <v>MSFT</v>
          </cell>
          <cell r="F94">
            <v>45695.856199502312</v>
          </cell>
        </row>
        <row r="95">
          <cell r="C95" t="str">
            <v>YPF</v>
          </cell>
          <cell r="F95">
            <v>45755.880253240743</v>
          </cell>
        </row>
        <row r="96">
          <cell r="C96" t="str">
            <v>MO</v>
          </cell>
          <cell r="F96">
            <v>45663.735067118047</v>
          </cell>
        </row>
        <row r="97">
          <cell r="C97" t="str">
            <v>PEP</v>
          </cell>
          <cell r="F97">
            <v>45663.730147314818</v>
          </cell>
        </row>
        <row r="98">
          <cell r="C98" t="str">
            <v>BCS</v>
          </cell>
          <cell r="F98">
            <v>45804.667249224527</v>
          </cell>
        </row>
        <row r="99">
          <cell r="C99" t="str">
            <v>CIB</v>
          </cell>
          <cell r="F99">
            <v>45789.648593773149</v>
          </cell>
        </row>
        <row r="100">
          <cell r="C100" t="str">
            <v>APA</v>
          </cell>
          <cell r="F100">
            <v>45645.890662638893</v>
          </cell>
        </row>
        <row r="101">
          <cell r="C101" t="str">
            <v>BBVA.MC</v>
          </cell>
          <cell r="F101">
            <v>45785.669720706021</v>
          </cell>
        </row>
        <row r="102">
          <cell r="C102" t="str">
            <v>APA</v>
          </cell>
          <cell r="F102">
            <v>45727.872020706018</v>
          </cell>
        </row>
        <row r="103">
          <cell r="C103" t="str">
            <v>DAR</v>
          </cell>
          <cell r="F103">
            <v>45796.824765613434</v>
          </cell>
        </row>
        <row r="104">
          <cell r="C104" t="str">
            <v>MO</v>
          </cell>
          <cell r="F104">
            <v>45818.906996134261</v>
          </cell>
        </row>
        <row r="105">
          <cell r="C105" t="str">
            <v>VWO</v>
          </cell>
          <cell r="F105">
            <v>45831.651447083343</v>
          </cell>
        </row>
        <row r="106">
          <cell r="C106" t="str">
            <v>BBVA.MC</v>
          </cell>
          <cell r="F106">
            <v>45785.669736342592</v>
          </cell>
        </row>
        <row r="107">
          <cell r="C107" t="str">
            <v>APA</v>
          </cell>
          <cell r="F107">
            <v>45826.765693900466</v>
          </cell>
        </row>
        <row r="108">
          <cell r="C108" t="str">
            <v>CIB</v>
          </cell>
          <cell r="F108">
            <v>45818.80209099537</v>
          </cell>
        </row>
        <row r="109">
          <cell r="C109" t="str">
            <v>TSM</v>
          </cell>
          <cell r="F109">
            <v>45751.739259409733</v>
          </cell>
        </row>
        <row r="110">
          <cell r="C110" t="str">
            <v>YUM</v>
          </cell>
          <cell r="F110">
            <v>45645.900768032407</v>
          </cell>
        </row>
        <row r="111">
          <cell r="C111" t="str">
            <v>MO</v>
          </cell>
          <cell r="F111">
            <v>45518.844285231477</v>
          </cell>
        </row>
        <row r="112">
          <cell r="C112" t="str">
            <v>KMB</v>
          </cell>
          <cell r="F112">
            <v>45544.651635254631</v>
          </cell>
        </row>
        <row r="113">
          <cell r="C113" t="str">
            <v>BBVA.MC</v>
          </cell>
          <cell r="F113">
            <v>45819.674269027782</v>
          </cell>
        </row>
        <row r="114">
          <cell r="C114" t="str">
            <v>ACI</v>
          </cell>
          <cell r="F114">
            <v>45693.855017106478</v>
          </cell>
        </row>
        <row r="115">
          <cell r="C115" t="str">
            <v>TSM</v>
          </cell>
          <cell r="F115">
            <v>45744.713397349537</v>
          </cell>
        </row>
        <row r="116">
          <cell r="C116" t="str">
            <v>KMB</v>
          </cell>
          <cell r="F116">
            <v>45628.860143831022</v>
          </cell>
        </row>
        <row r="117">
          <cell r="C117" t="str">
            <v>FSLR</v>
          </cell>
          <cell r="F117">
            <v>45804.666154502323</v>
          </cell>
        </row>
        <row r="118">
          <cell r="C118" t="str">
            <v>BCS</v>
          </cell>
          <cell r="F118">
            <v>45783.83190503472</v>
          </cell>
        </row>
        <row r="119">
          <cell r="C119" t="str">
            <v>INGR</v>
          </cell>
          <cell r="F119">
            <v>45580.706480879628</v>
          </cell>
        </row>
        <row r="120">
          <cell r="C120" t="str">
            <v>APA</v>
          </cell>
          <cell r="F120">
            <v>45632.876670833342</v>
          </cell>
        </row>
        <row r="121">
          <cell r="C121" t="str">
            <v>ACI</v>
          </cell>
          <cell r="F121">
            <v>45743.766586782411</v>
          </cell>
        </row>
        <row r="122">
          <cell r="C122" t="str">
            <v>ING</v>
          </cell>
          <cell r="F122">
            <v>45708.681665300923</v>
          </cell>
        </row>
        <row r="123">
          <cell r="C123" t="str">
            <v>EXC</v>
          </cell>
          <cell r="F123">
            <v>45818.801804571762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Walton" refreshedDate="45802.474804398145" createdVersion="8" refreshedVersion="8" minRefreshableVersion="3" recordCount="45" xr:uid="{F7C2E8EE-41B2-4379-9483-1E1726C2B887}">
  <cacheSource type="worksheet">
    <worksheetSource ref="A1:X46" sheet="Positions"/>
  </cacheSource>
  <cacheFields count="30">
    <cacheField name="Chapter" numFmtId="0">
      <sharedItems count="18">
        <s v="Technology"/>
        <s v="ETF"/>
        <s v="Energy &amp; Utilities"/>
        <s v="Consumer Defensive"/>
        <s v="Financial Services"/>
        <s v="Healthcare"/>
        <s v="Consumer Cyclical"/>
        <s v="FOREX"/>
        <s v="Industrials"/>
        <s v="Energy" u="1"/>
        <s v="Utilities" u="1"/>
        <s v="Communication Services" u="1"/>
        <s v="Tech" u="1"/>
        <s v="US Consumer" u="1"/>
        <s v="Banking" u="1"/>
        <s v="Asia Consumer" u="1"/>
        <s v="Health" u="1"/>
        <s v="Automotive" u="1"/>
      </sharedItems>
    </cacheField>
    <cacheField name="Name" numFmtId="0">
      <sharedItems count="46">
        <s v="TSMC"/>
        <s v="Vanguard Bonds"/>
        <s v="Emergin Markets"/>
        <s v="APA"/>
        <s v="First Solar"/>
        <s v="Bitcoin ETF"/>
        <s v="Altaria"/>
        <s v="Pepsi"/>
        <s v="YPF"/>
        <s v="Microsoft"/>
        <s v="ING Group NV"/>
        <s v="Albertson Companies"/>
        <s v="Master Card"/>
        <s v="NextEra Energy"/>
        <s v="Kimberly Clark"/>
        <s v="Ingredion"/>
        <s v="Robotics &amp; AI"/>
        <s v="Batterey Value-Chain"/>
        <s v="Google"/>
        <s v="Agios"/>
        <s v="BARCLAYS"/>
        <s v="Visa"/>
        <s v="MSG"/>
        <s v="Yum! Brands"/>
        <s v="Apple2"/>
        <s v="Excelon"/>
        <s v="Gold"/>
        <s v="ASML"/>
        <s v="LVMH"/>
        <s v="HCA Healthcare"/>
        <s v="QualComm2"/>
        <s v="Applied Material"/>
        <s v="Japan Yen"/>
        <s v="Nvidia"/>
        <s v="3M"/>
        <s v="Duke Energy"/>
        <s v="Walmart"/>
        <s v="Palantir"/>
        <s v="Aptive Autoparts"/>
        <s v="Yum China Holding"/>
        <s v="PG&amp;E"/>
        <s v="Jinko Solar"/>
        <s v="Mexican Peso"/>
        <s v="SolarWinds"/>
        <s v="Canadian Solar"/>
        <s v="Maxeon Solar" u="1"/>
      </sharedItems>
    </cacheField>
    <cacheField name="Ticker" numFmtId="0">
      <sharedItems containsBlank="1" count="58">
        <s v="TSM"/>
        <s v="BND"/>
        <s v="VWO"/>
        <s v="APA"/>
        <s v="FSLR"/>
        <s v="VBTC.DE"/>
        <s v="MO"/>
        <s v="PEP"/>
        <s v="YPF"/>
        <s v="MSFT"/>
        <s v="ING"/>
        <s v="ACI"/>
        <s v="MA"/>
        <s v="NEE"/>
        <s v="KMB"/>
        <s v="INGR"/>
        <s v="BOTZ.L"/>
        <s v="BATT.AS"/>
        <s v="GOOGL"/>
        <s v="AGIO"/>
        <s v="BCS"/>
        <s v="V"/>
        <s v="DAR"/>
        <s v="YUM"/>
        <s v="AAPL"/>
        <s v="EXC"/>
        <s v="GC=F"/>
        <s v="ASML"/>
        <s v="MC.PA"/>
        <s v="HCA"/>
        <s v="QCOM"/>
        <s v="AMAT"/>
        <s v="JPY=X"/>
        <s v="NVDA"/>
        <s v="MMM"/>
        <s v="DUK"/>
        <s v="WMT"/>
        <s v="PLTR"/>
        <s v="APTV"/>
        <s v="YUMC"/>
        <s v="PCG"/>
        <s v="JKS"/>
        <s v="MXN=X"/>
        <s v="SWI"/>
        <s v="CSIQ"/>
        <s v="BOTZ.UK" u="1"/>
        <s v="BATT.NL" u="1"/>
        <s v="USDJPY=X" u="1"/>
        <s v="USDMXN=X" u="1"/>
        <s v="SWI.US" u="1"/>
        <s v="BOTZ" u="1"/>
        <s v="BCS.US" u="1"/>
        <s v="BND.US" u="1"/>
        <s v="VWO.US" u="1"/>
        <s v="MAXN" u="1"/>
        <s v="BONDS" u="1"/>
        <m u="1"/>
        <s v="LVMH" u="1"/>
      </sharedItems>
      <fieldGroup par="29"/>
    </cacheField>
    <cacheField name="Date" numFmtId="165">
      <sharedItems containsSemiMixedTypes="0" containsNonDate="0" containsDate="1" containsString="0" minDate="2024-06-17T21:14:49" maxDate="2025-04-17T20:30:30"/>
    </cacheField>
    <cacheField name="Volume" numFmtId="164">
      <sharedItems containsSemiMixedTypes="0" containsString="0" containsNumber="1" minValue="1.0000000000000001E-32" maxValue="6.3764000000000003"/>
    </cacheField>
    <cacheField name="Price" numFmtId="44">
      <sharedItems containsMixedTypes="1" containsNumber="1" minValue="15.65" maxValue="3363.60009765625"/>
    </cacheField>
    <cacheField name="Value" numFmtId="44">
      <sharedItems containsMixedTypes="1" containsNumber="1" minValue="1.9222000122070309E-31" maxValue="182.90607399999999"/>
    </cacheField>
    <cacheField name="Expected Return QoQ%" numFmtId="10">
      <sharedItems containsSemiMixedTypes="0" containsString="0" containsNumber="1" minValue="3.5000000000000003E-2" maxValue="0.51730010062698373"/>
    </cacheField>
    <cacheField name="Volatility" numFmtId="9">
      <sharedItems containsSemiMixedTypes="0" containsString="0" containsNumber="1" minValue="0.15" maxValue="0.72170000000000001"/>
    </cacheField>
    <cacheField name="Ranking" numFmtId="9">
      <sharedItems containsSemiMixedTypes="0" containsString="0" containsNumber="1" minValue="6.9280864625190522E-2" maxValue="1.0252622236789655"/>
    </cacheField>
    <cacheField name="Mix %" numFmtId="9">
      <sharedItems containsSemiMixedTypes="0" containsString="0" containsNumber="1" minValue="3.1085812718883062E-3" maxValue="4.6002759413371376E-2"/>
    </cacheField>
    <cacheField name="W/Avg Volatility" numFmtId="9">
      <sharedItems containsMixedTypes="1" containsNumber="1" minValue="2.8833000183105462E-32" maxValue="67.675247380000002"/>
    </cacheField>
    <cacheField name="Target Price" numFmtId="44">
      <sharedItems containsMixedTypes="1" containsNumber="1" minValue="18.12285" maxValue="3699.9601074218754"/>
    </cacheField>
    <cacheField name="Target Value" numFmtId="44">
      <sharedItems containsMixedTypes="1" containsNumber="1" minValue="2.12E-31" maxValue="239.83877999999999"/>
    </cacheField>
    <cacheField name="Close Price" numFmtId="44">
      <sharedItems containsMixedTypes="1" containsNumber="1" minValue="9.1999998092651367" maxValue="3221.199951171875"/>
    </cacheField>
    <cacheField name="Actual Value" numFmtId="44">
      <sharedItems containsMixedTypes="1" containsNumber="1" minValue="9.1999998092651368E-32" maxValue="183.57053821868897"/>
    </cacheField>
    <cacheField name="Actual P&amp;L" numFmtId="44">
      <sharedItems containsMixedTypes="1" containsNumber="1" minValue="-17.120633999999995" maxValue="12.150220970138562"/>
    </cacheField>
    <cacheField name="Tolerance" numFmtId="44">
      <sharedItems containsMixedTypes="1" containsNumber="1" minValue="13.487891062656209" maxValue="2402.5714983258931"/>
    </cacheField>
    <cacheField name="Unit Profit" numFmtId="44">
      <sharedItems containsMixedTypes="1" containsNumber="1" minValue="0.61284999999999812" maxValue="336.36000976562536"/>
    </cacheField>
    <cacheField name="Unit Half Loss" numFmtId="44">
      <sharedItems containsMixedTypes="1" containsNumber="1" minValue="-480.51429966517844" maxValue="9.6709827119180858E-2"/>
    </cacheField>
    <cacheField name="Balance Risk" numFmtId="44">
      <sharedItems containsMixedTypes="1" containsNumber="1" minValue="-144.15428989955308" maxValue="66.636801077327021"/>
    </cacheField>
    <cacheField name="Normalized Risk" numFmtId="44">
      <sharedItems/>
    </cacheField>
    <cacheField name="Risk Mix" numFmtId="9">
      <sharedItems containsSemiMixedTypes="0" containsString="0" containsNumber="1" containsInteger="1" minValue="0" maxValue="0"/>
    </cacheField>
    <cacheField name="Normalized Risk %" numFmtId="9">
      <sharedItems/>
    </cacheField>
    <cacheField name="TargetReturn%_Metric" numFmtId="0" formula="'Target Value'/Value-1" databaseField="0"/>
    <cacheField name="TargetP&amp;L_metric" numFmtId="0" formula="'Target Value'-Value" databaseField="0"/>
    <cacheField name="ActualP&amp;L_Metric" numFmtId="0" formula="'Actual Value'-Value" databaseField="0"/>
    <cacheField name="ActualReturn_Metric" numFmtId="0" formula="'ActualP&amp;L_Metric'/Value" databaseField="0"/>
    <cacheField name="AvgVolatility_Metric" numFmtId="0" formula="'W/Avg Volatility'/Value" databaseField="0"/>
    <cacheField name="Ticker2" numFmtId="0" databaseField="0">
      <fieldGroup base="2">
        <discretePr count="58">
          <x v="2"/>
          <x v="5"/>
          <x v="6"/>
          <x v="2"/>
          <x v="2"/>
          <x v="2"/>
          <x v="3"/>
          <x v="3"/>
          <x v="2"/>
          <x v="3"/>
          <x v="2"/>
          <x v="2"/>
          <x v="2"/>
          <x v="2"/>
          <x v="3"/>
          <x v="2"/>
          <x v="11"/>
          <x v="12"/>
          <x v="2"/>
          <x v="2"/>
          <x v="10"/>
          <x v="2"/>
          <x v="2"/>
          <x v="3"/>
          <x v="2"/>
          <x v="2"/>
          <x v="2"/>
          <x v="2"/>
          <x v="2"/>
          <x v="2"/>
          <x v="2"/>
          <x v="2"/>
          <x v="13"/>
          <x v="2"/>
          <x v="2"/>
          <x v="3"/>
          <x v="3"/>
          <x v="2"/>
          <x v="3"/>
          <x v="2"/>
          <x v="2"/>
          <x v="2"/>
          <x v="14"/>
          <x v="2"/>
          <x v="2"/>
          <x v="3"/>
          <x v="3"/>
          <x v="3"/>
          <x v="3"/>
          <x v="8"/>
          <x v="9"/>
          <x v="7"/>
          <x v="4"/>
          <x v="3"/>
          <x v="2"/>
          <x v="3"/>
          <x v="1"/>
          <x v="0"/>
        </discretePr>
        <groupItems count="15">
          <s v="LVMH"/>
          <m/>
          <s v="Group1"/>
          <s v="Group2"/>
          <s v="BND.US"/>
          <s v="BND"/>
          <s v="VWO"/>
          <s v="BCS.US"/>
          <s v="SWI.US"/>
          <s v="BOTZ"/>
          <s v="BCS"/>
          <s v="BOTZ.L"/>
          <s v="BATT.AS"/>
          <s v="JPY=X"/>
          <s v="MXN=X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d v="2024-07-11T16:06:30"/>
    <n v="1.0547"/>
    <n v="173.42"/>
    <n v="182.90607399999999"/>
    <n v="0.31126744320147637"/>
    <n v="0.37"/>
    <n v="0.84126336000399016"/>
    <n v="3.7746866177004526E-2"/>
    <n v="67.675247380000002"/>
    <n v="227.4"/>
    <n v="239.83877999999999"/>
    <n v="174.05000305175781"/>
    <n v="183.57053821868897"/>
    <n v="0.66446421868897687"/>
    <n v="163.799628986947"/>
    <n v="53.980000000000018"/>
    <n v="-4.8101855065264942"/>
    <n v="49.169814493473524"/>
    <e v="#N/A"/>
    <n v="0"/>
    <e v="#N/A"/>
  </r>
  <r>
    <x v="1"/>
    <x v="1"/>
    <x v="1"/>
    <d v="2025-03-27T18:34:25"/>
    <n v="2"/>
    <n v="73.5"/>
    <n v="147"/>
    <n v="4.4999999999999998E-2"/>
    <n v="0.16500000000000001"/>
    <n v="0.27272727272727271"/>
    <n v="1.2237071475937038E-2"/>
    <n v="24.255000000000003"/>
    <n v="76.80749999999999"/>
    <n v="153.61499999999998"/>
    <n v="72.989997863769531"/>
    <n v="145.97999572753906"/>
    <n v="-1.0200042724609375"/>
    <n v="65.625"/>
    <n v="3.3074999999999903"/>
    <n v="-3.9375"/>
    <n v="-0.63000000000000966"/>
    <e v="#N/A"/>
    <n v="0"/>
    <e v="#N/A"/>
  </r>
  <r>
    <x v="1"/>
    <x v="2"/>
    <x v="2"/>
    <d v="2025-01-29T19:59:07"/>
    <n v="3"/>
    <n v="44.95"/>
    <n v="134.85000000000002"/>
    <n v="8.3000000000000004E-2"/>
    <n v="0.16800000000000001"/>
    <n v="0.49404761904761907"/>
    <n v="2.2167552098274836E-2"/>
    <n v="22.654800000000005"/>
    <n v="48.68085"/>
    <n v="146.04255000000001"/>
    <n v="45.38800048828125"/>
    <n v="136.16400146484375"/>
    <n v="1.3140014648437273"/>
    <n v="41.428571428571431"/>
    <n v="3.7308499999999967"/>
    <n v="-1.7607142857142861"/>
    <n v="1.9701357142857105"/>
    <e v="#N/A"/>
    <n v="0"/>
    <e v="#N/A"/>
  </r>
  <r>
    <x v="2"/>
    <x v="3"/>
    <x v="3"/>
    <d v="2024-12-06T21:02:24"/>
    <n v="6.3764000000000003"/>
    <n v="18.809999999999999"/>
    <n v="119.940084"/>
    <n v="0.41307814992025516"/>
    <n v="0.40289999999999998"/>
    <n v="1.0252622236789655"/>
    <n v="4.6002759413371376E-2"/>
    <n v="48.323859843599998"/>
    <n v="26.58"/>
    <n v="169.484712"/>
    <n v="16.125"/>
    <n v="102.81945"/>
    <n v="-17.120633999999995"/>
    <n v="19.00341965423836"/>
    <n v="7.77"/>
    <n v="9.6709827119180858E-2"/>
    <n v="7.8667098271191804"/>
    <e v="#N/A"/>
    <n v="0"/>
    <e v="#N/A"/>
  </r>
  <r>
    <x v="2"/>
    <x v="4"/>
    <x v="4"/>
    <d v="2025-03-11T20:55:13"/>
    <n v="0.29670000000000002"/>
    <n v="129.19"/>
    <n v="38.330673000000004"/>
    <n v="0.51730010062698373"/>
    <n v="0.52029999999999998"/>
    <n v="0.99423428911586342"/>
    <n v="4.4610558885706995E-2"/>
    <n v="19.943449161900002"/>
    <n v="196.02"/>
    <n v="58.159134000000009"/>
    <n v="126.7399978637695"/>
    <n v="37.603757366180417"/>
    <n v="-0.72691563381958701"/>
    <n v="128.80360215465402"/>
    <n v="66.830000000000013"/>
    <n v="-0.1931989226729911"/>
    <n v="66.636801077327021"/>
    <e v="#N/A"/>
    <n v="0"/>
    <e v="#N/A"/>
  </r>
  <r>
    <x v="1"/>
    <x v="5"/>
    <x v="5"/>
    <d v="2025-03-26T00:00:00"/>
    <n v="1.0000000000000001E-32"/>
    <n v="51.520000457763672"/>
    <n v="5.1520000457763674E-31"/>
    <n v="0.1"/>
    <n v="0.2"/>
    <n v="0.5"/>
    <n v="2.2434631039217903E-2"/>
    <n v="1.0304000091552735E-31"/>
    <n v="56.67200050354004"/>
    <n v="5.6672000503540044E-31"/>
    <n v="44.212001800537109"/>
    <n v="4.4212001800537112E-31"/>
    <n v="-7.3079986572265612E-32"/>
    <n v="46.836364052512437"/>
    <n v="5.1520000457763686"/>
    <n v="-2.3418182026256176"/>
    <n v="2.810181843150751"/>
    <e v="#N/A"/>
    <n v="0"/>
    <e v="#N/A"/>
  </r>
  <r>
    <x v="3"/>
    <x v="6"/>
    <x v="6"/>
    <d v="2024-08-14T20:15:46"/>
    <n v="1.7987"/>
    <n v="52.68"/>
    <n v="94.755516"/>
    <n v="0.18430000000000002"/>
    <n v="0.19980000000000001"/>
    <n v="0.92242242242242245"/>
    <n v="4.1388413418697298E-2"/>
    <n v="18.932152096799999"/>
    <n v="62.388923999999996"/>
    <n v="112.21895759879999"/>
    <n v="59.435001373291023"/>
    <n v="106.90573697013856"/>
    <n v="12.150220970138562"/>
    <n v="51.875923190546537"/>
    <n v="9.7089239999999961"/>
    <n v="-0.40203840472673136"/>
    <n v="9.3068855952732648"/>
    <e v="#N/A"/>
    <n v="0"/>
    <e v="#N/A"/>
  </r>
  <r>
    <x v="3"/>
    <x v="7"/>
    <x v="7"/>
    <d v="2024-06-17T21:14:49"/>
    <n v="0.65480000000000005"/>
    <n v="151.04"/>
    <n v="98.900992000000002"/>
    <n v="6.7199999999999996E-2"/>
    <n v="0.16439999999999999"/>
    <n v="0.40875912408759124"/>
    <n v="1.8340720265637996E-2"/>
    <n v="16.259323084799998"/>
    <n v="161.18988799999997"/>
    <n v="105.54713866239999"/>
    <n v="133.71299743652341"/>
    <n v="87.555270721435534"/>
    <n v="-11.345721278564469"/>
    <n v="137.65949690120303"/>
    <n v="10.149887999999976"/>
    <n v="-6.6902515493984822"/>
    <n v="3.4596364506014936"/>
    <e v="#N/A"/>
    <n v="0"/>
    <e v="#N/A"/>
  </r>
  <r>
    <x v="2"/>
    <x v="8"/>
    <x v="8"/>
    <d v="2025-01-06T17:42:00"/>
    <n v="2.2044999999999999"/>
    <n v="36.29"/>
    <n v="80.001304999999988"/>
    <n v="0.37779002480022039"/>
    <n v="0.53110000000000002"/>
    <n v="0.71133501186258785"/>
    <n v="3.1917077072829703E-2"/>
    <n v="42.488693085499996"/>
    <n v="50"/>
    <n v="110.22499999999999"/>
    <n v="29.159999847412109"/>
    <n v="64.283219663619988"/>
    <n v="-15.71808533638"/>
    <n v="31.465955190159303"/>
    <n v="13.71"/>
    <n v="-2.4120224049203483"/>
    <n v="11.297977595079653"/>
    <e v="#N/A"/>
    <n v="0"/>
    <e v="#N/A"/>
  </r>
  <r>
    <x v="0"/>
    <x v="9"/>
    <x v="9"/>
    <d v="2024-08-19T15:59:32"/>
    <n v="0.05"/>
    <n v="408.8"/>
    <n v="20.440000000000001"/>
    <n v="0.15"/>
    <n v="0.1963"/>
    <n v="0.76413652572592972"/>
    <n v="3.428624203650215E-2"/>
    <n v="4.012372"/>
    <n v="470.12"/>
    <n v="23.506"/>
    <n v="430.67999267578119"/>
    <n v="21.533999633789062"/>
    <n v="1.0939996337890605"/>
    <n v="390.71012138010133"/>
    <n v="61.319999999999993"/>
    <n v="-9.044939309949342"/>
    <n v="52.275060690050651"/>
    <e v="#N/A"/>
    <n v="0"/>
    <e v="#N/A"/>
  </r>
  <r>
    <x v="4"/>
    <x v="10"/>
    <x v="10"/>
    <d v="2024-11-27T17:59:18"/>
    <n v="3.9380999999999999"/>
    <n v="16.670000000000002"/>
    <n v="65.648127000000002"/>
    <n v="9.0200000000000002E-2"/>
    <n v="0.27889999999999998"/>
    <n v="0.32341340982430983"/>
    <n v="1.4511321045087525E-2"/>
    <n v="18.3092626203"/>
    <n v="18.173634000000003"/>
    <n v="71.569588055400018"/>
    <n v="19.295000076293949"/>
    <n v="75.9856398004532"/>
    <n v="10.337512800453197"/>
    <n v="14.023723395305799"/>
    <n v="1.5036340000000017"/>
    <n v="-1.3231383023471013"/>
    <n v="0.18049569765290041"/>
    <e v="#N/A"/>
    <n v="0"/>
    <e v="#N/A"/>
  </r>
  <r>
    <x v="3"/>
    <x v="11"/>
    <x v="11"/>
    <d v="2025-02-05T20:31:13"/>
    <n v="4"/>
    <n v="20.95"/>
    <n v="83.8"/>
    <n v="0.2"/>
    <n v="0.2"/>
    <n v="1"/>
    <n v="4.4869262078435806E-2"/>
    <n v="16.760000000000002"/>
    <n v="25.139999999999997"/>
    <n v="100.55999999999999"/>
    <n v="22.110000610351559"/>
    <n v="88.440002441406236"/>
    <n v="4.6400024414062386"/>
    <n v="20.95"/>
    <n v="4.1899999999999977"/>
    <n v="0"/>
    <n v="4.1899999999999977"/>
    <e v="#N/A"/>
    <n v="0"/>
    <e v="#N/A"/>
  </r>
  <r>
    <x v="4"/>
    <x v="12"/>
    <x v="12"/>
    <d v="2024-12-19T21:38:04"/>
    <n v="5.9400000000000001E-2"/>
    <n v="512.79"/>
    <n v="30.459726"/>
    <n v="9.5899999999999999E-2"/>
    <n v="0.1865"/>
    <n v="0.51420911528150137"/>
    <n v="2.3072183556686297E-2"/>
    <n v="5.6807388989999996"/>
    <n v="561.96656099999996"/>
    <n v="33.380813723399996"/>
    <n v="548.18499755859375"/>
    <n v="32.562188854980469"/>
    <n v="2.1024628549804696"/>
    <n v="470.19072070419946"/>
    <n v="49.176560999999992"/>
    <n v="-21.29963964790025"/>
    <n v="27.876921352099743"/>
    <e v="#N/A"/>
    <n v="0"/>
    <e v="#N/A"/>
  </r>
  <r>
    <x v="2"/>
    <x v="13"/>
    <x v="13"/>
    <d v="2024-08-07T20:39:07"/>
    <n v="0.74609999999999999"/>
    <n v="73.69"/>
    <n v="54.980108999999999"/>
    <n v="0.05"/>
    <n v="0.27860000000000001"/>
    <n v="0.17946877243359655"/>
    <n v="8.0526313852181987E-3"/>
    <n v="15.3174583674"/>
    <n v="77.374499999999998"/>
    <n v="57.729114449999997"/>
    <n v="66.18499755859375"/>
    <n v="49.380626678466797"/>
    <n v="-5.5994823215332019"/>
    <n v="59.978837701448803"/>
    <n v="3.6844999999999999"/>
    <n v="-6.8555811492755971"/>
    <n v="-3.1710811492755973"/>
    <e v="#N/A"/>
    <n v="0"/>
    <e v="#N/A"/>
  </r>
  <r>
    <x v="3"/>
    <x v="14"/>
    <x v="14"/>
    <d v="2024-09-09T15:38:21"/>
    <n v="0.4"/>
    <n v="135.97999999999999"/>
    <n v="54.391999999999996"/>
    <n v="7.0000000000000007E-2"/>
    <n v="0.18340000000000001"/>
    <n v="0.38167938931297712"/>
    <n v="1.7125672549021302E-2"/>
    <n v="9.9754927999999996"/>
    <n v="145.49860000000001"/>
    <n v="58.19944000000001"/>
    <n v="130.2250061035156"/>
    <n v="52.090002441406241"/>
    <n v="-2.3019975585937544"/>
    <n v="122.13041135261361"/>
    <n v="9.5186000000000206"/>
    <n v="-6.9247943236931917"/>
    <n v="2.5938056763068289"/>
    <e v="#N/A"/>
    <n v="0"/>
    <e v="#N/A"/>
  </r>
  <r>
    <x v="3"/>
    <x v="15"/>
    <x v="15"/>
    <d v="2024-10-15T16:57:20"/>
    <n v="0.34860000000000002"/>
    <n v="131.93"/>
    <n v="45.990798000000005"/>
    <n v="0.1202"/>
    <n v="0.33710000000000001"/>
    <n v="0.35657075051913378"/>
    <n v="1.5999066454547566E-2"/>
    <n v="15.503498005800003"/>
    <n v="147.78798600000002"/>
    <n v="51.518891919600009"/>
    <n v="131.5899963378906"/>
    <n v="45.872272723388662"/>
    <n v="-0.1185252766113436"/>
    <n v="108.41482455419511"/>
    <n v="15.857986000000011"/>
    <n v="-11.75758772290245"/>
    <n v="4.1003982770975611"/>
    <e v="#N/A"/>
    <n v="0"/>
    <e v="#N/A"/>
  </r>
  <r>
    <x v="1"/>
    <x v="16"/>
    <x v="16"/>
    <d v="2025-03-26T00:00:00"/>
    <n v="2"/>
    <n v="20.93"/>
    <n v="41.86"/>
    <n v="3.5000000000000003E-2"/>
    <n v="0.16500000000000001"/>
    <n v="0.21212121212121213"/>
    <n v="9.5177222590621408E-3"/>
    <n v="6.9069000000000003"/>
    <n v="21.66255"/>
    <n v="43.325099999999999"/>
    <n v="18.96"/>
    <n v="37.92"/>
    <n v="-3.9399999999999977"/>
    <n v="18.522123893805308"/>
    <n v="0.73254999999999981"/>
    <n v="-1.203938053097346"/>
    <n v="-0.47138805309734622"/>
    <e v="#N/A"/>
    <n v="0"/>
    <e v="#N/A"/>
  </r>
  <r>
    <x v="1"/>
    <x v="17"/>
    <x v="17"/>
    <d v="2025-03-26T00:00:00"/>
    <n v="2"/>
    <n v="17.510000000000002"/>
    <n v="35.020000000000003"/>
    <n v="3.5000000000000003E-2"/>
    <n v="0.16500000000000001"/>
    <n v="0.21212121212121213"/>
    <n v="9.5177222590621408E-3"/>
    <n v="5.7783000000000007"/>
    <n v="18.12285"/>
    <n v="36.245699999999999"/>
    <n v="14.254"/>
    <n v="28.507999999999999"/>
    <n v="-6.512000000000004"/>
    <n v="15.495575221238937"/>
    <n v="0.61284999999999812"/>
    <n v="-1.0072123893805323"/>
    <n v="-0.39436238938053414"/>
    <e v="#N/A"/>
    <n v="0"/>
    <e v="#N/A"/>
  </r>
  <r>
    <x v="0"/>
    <x v="18"/>
    <x v="18"/>
    <d v="2025-02-07T20:35:25"/>
    <n v="0.1782"/>
    <n v="168.24"/>
    <n v="29.980368000000002"/>
    <n v="0.1317760342368044"/>
    <n v="0.26790000000000003"/>
    <n v="0.49188515952521233"/>
    <n v="2.2070524135229957E-2"/>
    <n v="8.0317405872000016"/>
    <n v="190.40999999999997"/>
    <n v="33.931061999999997"/>
    <n v="161.88999938964841"/>
    <n v="28.848797891235346"/>
    <n v="-1.1315701087646559"/>
    <n v="148.08243208476298"/>
    <n v="22.169999999999959"/>
    <n v="-10.078783957618512"/>
    <n v="12.091216042381447"/>
    <e v="#N/A"/>
    <n v="0"/>
    <e v="#N/A"/>
  </r>
  <r>
    <x v="5"/>
    <x v="19"/>
    <x v="19"/>
    <d v="2025-01-30T20:27:55"/>
    <n v="0.9708"/>
    <n v="30.9"/>
    <n v="29.997719999999997"/>
    <n v="0.2"/>
    <n v="0.2"/>
    <n v="1"/>
    <n v="4.4869262078435806E-2"/>
    <n v="5.9995440000000002"/>
    <n v="37.08"/>
    <n v="35.997264000000001"/>
    <n v="30.344999313354489"/>
    <n v="29.458925333404537"/>
    <n v="-0.53879466659546082"/>
    <n v="30.9"/>
    <n v="6.18"/>
    <n v="0"/>
    <n v="6.18"/>
    <e v="#N/A"/>
    <n v="0"/>
    <e v="#N/A"/>
  </r>
  <r>
    <x v="4"/>
    <x v="20"/>
    <x v="20"/>
    <d v="2025-04-17T20:30:30"/>
    <n v="2.5552000000000001"/>
    <n v="15.65"/>
    <n v="39.988880000000002"/>
    <n v="0.1857"/>
    <n v="0.34599999999999997"/>
    <n v="0.53670520231213881"/>
    <n v="2.4081566381403269E-2"/>
    <n v="13.836152479999999"/>
    <n v="18.556204999999999"/>
    <n v="47.414815015999999"/>
    <n v="15.909999847412109"/>
    <n v="40.653231610107426"/>
    <n v="0.66435161010742405"/>
    <n v="13.487891062656209"/>
    <n v="2.9062049999999982"/>
    <n v="-1.0810544686718959"/>
    <n v="1.8251505313281022"/>
    <e v="#N/A"/>
    <n v="0"/>
    <e v="#N/A"/>
  </r>
  <r>
    <x v="4"/>
    <x v="21"/>
    <x v="21"/>
    <d v="2025-04-04T17:52:49"/>
    <n v="1.9199999999999998E-2"/>
    <n v="324.48"/>
    <n v="6.230016"/>
    <n v="0.1177"/>
    <n v="0.18329999999999999"/>
    <n v="0.64211674849972722"/>
    <n v="2.8811304673387314E-2"/>
    <n v="1.1419619327999999"/>
    <n v="362.67129599999998"/>
    <n v="6.9632888831999988"/>
    <n v="342.92001342773438"/>
    <n v="6.584064257812499"/>
    <n v="0.35404825781249905"/>
    <n v="304.5045045045045"/>
    <n v="38.191295999999966"/>
    <n v="-9.9877477477477612"/>
    <n v="28.203548252252205"/>
    <e v="#N/A"/>
    <n v="0"/>
    <e v="#N/A"/>
  </r>
  <r>
    <x v="3"/>
    <x v="22"/>
    <x v="22"/>
    <d v="2025-02-20T16:21:09"/>
    <n v="1.1091"/>
    <n v="36.049999999999997"/>
    <n v="39.983054999999993"/>
    <n v="7.0000000000000007E-2"/>
    <n v="0.4"/>
    <n v="0.17500000000000002"/>
    <n v="7.8521208637262682E-3"/>
    <n v="15.993221999999998"/>
    <n v="38.573499999999996"/>
    <n v="42.781868849999995"/>
    <n v="32.784999847412109"/>
    <n v="36.361843330764771"/>
    <n v="-3.6212116692352225"/>
    <n v="27.105263157894736"/>
    <n v="2.5234999999999985"/>
    <n v="-4.4723684210526304"/>
    <n v="-1.9488684210526319"/>
    <e v="#N/A"/>
    <n v="0"/>
    <e v="#N/A"/>
  </r>
  <r>
    <x v="6"/>
    <x v="23"/>
    <x v="23"/>
    <d v="2024-12-19T21:37:06"/>
    <n v="2.9999999999999997E-4"/>
    <n v="133.33000000000001"/>
    <n v="3.9999E-2"/>
    <n v="7.0000000000000007E-2"/>
    <n v="0.1623"/>
    <n v="0.43130006161429457"/>
    <n v="1.9352115499017296E-2"/>
    <n v="6.4918377000000001E-3"/>
    <n v="142.66310000000001"/>
    <n v="4.2798929999999999E-2"/>
    <n v="148.08000183105469"/>
    <n v="4.4424000549316403E-2"/>
    <n v="4.4250005493164032E-3"/>
    <n v="122.06353565870182"/>
    <n v="9.3331000000000017"/>
    <n v="-5.6332321706490944"/>
    <n v="3.6998678293509073"/>
    <e v="#N/A"/>
    <n v="0"/>
    <e v="#N/A"/>
  </r>
  <r>
    <x v="0"/>
    <x v="24"/>
    <x v="24"/>
    <d v="2024-10-17T17:45:33"/>
    <n v="1E-4"/>
    <n v="200"/>
    <n v="0.02"/>
    <n v="0.15"/>
    <n v="0.2271"/>
    <n v="0.66050198150594452"/>
    <n v="2.9636236511516388E-2"/>
    <n v="4.542E-3"/>
    <n v="229.99999999999997"/>
    <n v="2.3E-2"/>
    <n v="212.94000244140619"/>
    <n v="2.1294000244140621E-2"/>
    <n v="1.2940002441406209E-3"/>
    <n v="185.68378052177138"/>
    <n v="29.999999999999972"/>
    <n v="-7.1581097391143089"/>
    <n v="22.841890260885663"/>
    <e v="#N/A"/>
    <n v="0"/>
    <e v="#N/A"/>
  </r>
  <r>
    <x v="2"/>
    <x v="25"/>
    <x v="25"/>
    <d v="2025-02-20T16:19:32"/>
    <n v="0.4612"/>
    <n v="43.37"/>
    <n v="20.002243999999997"/>
    <n v="0.05"/>
    <n v="0.2029"/>
    <n v="0.24642681123706262"/>
    <n v="1.1056989176548992E-2"/>
    <n v="4.0584553075999992"/>
    <n v="45.538499999999999"/>
    <n v="21.002356200000001"/>
    <n v="46.634998321533203"/>
    <n v="21.508061225891112"/>
    <n v="1.5058172258911142"/>
    <n v="37.618180241131057"/>
    <n v="2.1685000000000016"/>
    <n v="-2.8759098794344702"/>
    <n v="-0.70740987943446854"/>
    <e v="#N/A"/>
    <n v="0"/>
    <e v="#N/A"/>
  </r>
  <r>
    <x v="7"/>
    <x v="26"/>
    <x v="26"/>
    <d v="2025-03-26T00:00:00"/>
    <n v="1.0000000000000001E-32"/>
    <n v="3363.60009765625"/>
    <n v="3.3636000976562505E-29"/>
    <n v="0.1"/>
    <n v="0.5"/>
    <n v="0.2"/>
    <n v="8.9738524156871627E-3"/>
    <n v="1.6818000488281252E-29"/>
    <n v="3699.9601074218754"/>
    <n v="3.6999601074218754E-29"/>
    <n v="3221.199951171875"/>
    <n v="3.2211999511718753E-29"/>
    <n v="-1.4240014648437519E-30"/>
    <n v="2402.5714983258931"/>
    <n v="336.36000976562536"/>
    <n v="-480.51429966517844"/>
    <n v="-144.15428989955308"/>
    <e v="#N/A"/>
    <n v="0"/>
    <e v="#N/A"/>
  </r>
  <r>
    <x v="0"/>
    <x v="27"/>
    <x v="27"/>
    <d v="2025-03-26T00:00:00"/>
    <n v="1.0000000000000001E-32"/>
    <n v="732.489990234375"/>
    <n v="7.32489990234375E-30"/>
    <n v="0.1"/>
    <n v="0.45340000000000003"/>
    <n v="0.22055580061755625"/>
    <n v="9.8961760208283664E-3"/>
    <n v="3.3211096157226561E-30"/>
    <n v="805.73898925781259"/>
    <n v="8.0573898925781258E-30"/>
    <n v="668.61798095703125"/>
    <n v="6.6861798095703134E-30"/>
    <n v="-6.3872009277343658E-31"/>
    <n v="541.22210006973182"/>
    <n v="73.248999023437591"/>
    <n v="-95.633945082321588"/>
    <n v="-22.384946058883997"/>
    <e v="#N/A"/>
    <n v="0"/>
    <e v="#N/A"/>
  </r>
  <r>
    <x v="6"/>
    <x v="28"/>
    <x v="28"/>
    <d v="2025-03-26T00:00:00"/>
    <n v="1.0000000000000001E-32"/>
    <n v="479"/>
    <n v="4.7900000000000001E-30"/>
    <n v="0.05"/>
    <n v="0.28000000000000003"/>
    <n v="0.17857142857142858"/>
    <n v="8.0123682282921098E-3"/>
    <n v="1.3412000000000001E-30"/>
    <n v="502.95000000000005"/>
    <n v="5.0295000000000005E-30"/>
    <n v="487.89999389648438"/>
    <n v="4.8789999389648442E-30"/>
    <n v="8.8999938964844102E-32"/>
    <n v="389.4308943089431"/>
    <n v="23.950000000000045"/>
    <n v="-44.784552845528452"/>
    <n v="-20.834552845528407"/>
    <e v="#N/A"/>
    <n v="0"/>
    <e v="#N/A"/>
  </r>
  <r>
    <x v="5"/>
    <x v="29"/>
    <x v="29"/>
    <d v="2025-03-26T00:00:00"/>
    <n v="1.0000000000000001E-32"/>
    <e v="#N/A"/>
    <e v="#N/A"/>
    <n v="0.2"/>
    <n v="0.2"/>
    <n v="1"/>
    <n v="4.4869262078435806E-2"/>
    <e v="#N/A"/>
    <e v="#N/A"/>
    <e v="#N/A"/>
    <n v="345.3599853515625"/>
    <n v="3.4535998535156251E-30"/>
    <e v="#N/A"/>
    <e v="#N/A"/>
    <e v="#N/A"/>
    <e v="#N/A"/>
    <e v="#N/A"/>
    <e v="#N/A"/>
    <n v="0"/>
    <e v="#N/A"/>
  </r>
  <r>
    <x v="0"/>
    <x v="30"/>
    <x v="30"/>
    <d v="2025-03-26T00:00:00"/>
    <n v="1.0000000000000001E-32"/>
    <n v="145.3800048828125"/>
    <n v="1.453800048828125E-30"/>
    <n v="0.15"/>
    <n v="0.37780000000000002"/>
    <n v="0.39703546850185278"/>
    <n v="1.7814688490644177E-2"/>
    <n v="5.4924565844726567E-31"/>
    <n v="167.18700561523437"/>
    <n v="1.671870056152344E-30"/>
    <n v="136.92999267578119"/>
    <n v="1.369299926757812E-30"/>
    <n v="-8.4500122070313044E-32"/>
    <n v="118.40691063920221"/>
    <n v="21.807000732421869"/>
    <n v="-13.486547121805145"/>
    <n v="8.3204536106167239"/>
    <e v="#N/A"/>
    <n v="0"/>
    <e v="#N/A"/>
  </r>
  <r>
    <x v="0"/>
    <x v="31"/>
    <x v="31"/>
    <d v="2025-03-26T00:00:00"/>
    <n v="1.0000000000000001E-32"/>
    <n v="157.50999450683591"/>
    <n v="1.5750999450683592E-30"/>
    <n v="0.1"/>
    <n v="0.4259"/>
    <n v="0.23479690068091102"/>
    <n v="1.053516367185626E-2"/>
    <n v="6.7083506660461417E-31"/>
    <n v="173.2609939575195"/>
    <n v="1.7326099395751953E-30"/>
    <n v="150.9049987792969"/>
    <n v="1.509049987792969E-30"/>
    <n v="-6.6049957275390101E-32"/>
    <n v="118.7947767605671"/>
    <n v="15.750999450683594"/>
    <n v="-19.357608873134403"/>
    <n v="-3.6066094224508092"/>
    <e v="#N/A"/>
    <n v="0"/>
    <e v="#N/A"/>
  </r>
  <r>
    <x v="7"/>
    <x v="32"/>
    <x v="32"/>
    <d v="2025-03-26T00:00:00"/>
    <n v="1.0000000000000001E-32"/>
    <n v="142.55000305175781"/>
    <n v="1.4255000305175783E-30"/>
    <n v="7.0000000000000007E-2"/>
    <n v="0.19"/>
    <n v="0.36842105263157898"/>
    <n v="1.6530780765739512E-2"/>
    <n v="2.7084500579833989E-31"/>
    <n v="152.52850326538086"/>
    <n v="1.5252850326538088E-30"/>
    <e v="#N/A"/>
    <n v="1.4255000305175783E-30"/>
    <n v="0"/>
    <n v="127.27678843906949"/>
    <n v="9.9785002136230503"/>
    <n v="-7.6366073063441604"/>
    <n v="2.3418929072788899"/>
    <e v="#N/A"/>
    <n v="0"/>
    <e v="#N/A"/>
  </r>
  <r>
    <x v="0"/>
    <x v="33"/>
    <x v="33"/>
    <d v="2025-03-26T00:00:00"/>
    <n v="1.0000000000000001E-32"/>
    <n v="131.28999328613281"/>
    <n v="1.3128999328613282E-30"/>
    <n v="0.15"/>
    <n v="0.52380000000000004"/>
    <n v="0.28636884306987398"/>
    <n v="1.2849158670800631E-2"/>
    <n v="6.8769698483276372E-31"/>
    <n v="150.98349227905271"/>
    <n v="1.5098349227905272E-30"/>
    <n v="113.5950012207031"/>
    <n v="1.135950012207031E-30"/>
    <n v="-1.7694992065429713E-31"/>
    <n v="95.56703543902519"/>
    <n v="19.693498992919899"/>
    <n v="-17.861478923553811"/>
    <n v="1.832020069366088"/>
    <e v="#N/A"/>
    <n v="0"/>
    <e v="#N/A"/>
  </r>
  <r>
    <x v="8"/>
    <x v="34"/>
    <x v="34"/>
    <d v="2025-03-26T00:00:00"/>
    <n v="1.0000000000000001E-32"/>
    <e v="#N/A"/>
    <e v="#N/A"/>
    <n v="7.0000000000000007E-2"/>
    <n v="0.2"/>
    <n v="0.35000000000000003"/>
    <n v="1.5704241727452536E-2"/>
    <e v="#N/A"/>
    <e v="#N/A"/>
    <e v="#N/A"/>
    <n v="138.69500732421881"/>
    <n v="1.3869500732421881E-30"/>
    <e v="#N/A"/>
    <e v="#N/A"/>
    <e v="#N/A"/>
    <e v="#N/A"/>
    <e v="#N/A"/>
    <e v="#N/A"/>
    <n v="0"/>
    <e v="#N/A"/>
  </r>
  <r>
    <x v="2"/>
    <x v="35"/>
    <x v="35"/>
    <d v="2025-03-26T00:00:00"/>
    <n v="1.0000000000000001E-32"/>
    <n v="116.4899978637695"/>
    <n v="1.1648999786376951E-30"/>
    <n v="4.0003452843051734E-2"/>
    <n v="0.17680000000000001"/>
    <n v="0.22626387354667268"/>
    <n v="1.0152293041047715E-2"/>
    <n v="2.059543162231445E-31"/>
    <n v="121.15"/>
    <n v="1.2115000000000001E-30"/>
    <n v="121.879997253418"/>
    <n v="1.21879997253418E-30"/>
    <n v="5.3899993896484974E-32"/>
    <n v="102.47216017246282"/>
    <n v="4.6600021362305029"/>
    <n v="-7.0089188456533407"/>
    <n v="-2.3489167094228378"/>
    <e v="#N/A"/>
    <n v="0"/>
    <e v="#N/A"/>
  </r>
  <r>
    <x v="3"/>
    <x v="36"/>
    <x v="36"/>
    <d v="2025-03-26T00:00:00"/>
    <n v="1.0000000000000001E-32"/>
    <n v="96.339996337890625"/>
    <n v="9.6339996337890629E-31"/>
    <n v="7.0000000000000007E-2"/>
    <n v="0.17249999999999999"/>
    <n v="0.40579710144927544"/>
    <n v="1.8207816495597145E-2"/>
    <n v="1.6618649368286133E-31"/>
    <n v="103.08379608154297"/>
    <n v="1.0308379608154297E-30"/>
    <n v="97.44000244140625"/>
    <n v="9.7440002441406255E-31"/>
    <n v="1.1000061035156257E-32"/>
    <n v="87.383216633007379"/>
    <n v="6.743799743652346"/>
    <n v="-4.478389852441623"/>
    <n v="2.265409891210723"/>
    <e v="#N/A"/>
    <n v="0"/>
    <e v="#N/A"/>
  </r>
  <r>
    <x v="0"/>
    <x v="37"/>
    <x v="37"/>
    <d v="2025-03-26T00:00:00"/>
    <n v="1.0000000000000001E-32"/>
    <e v="#N/A"/>
    <e v="#N/A"/>
    <n v="0.15"/>
    <n v="0.67300000000000004"/>
    <n v="0.22288261515601782"/>
    <n v="1.0000578472162512E-2"/>
    <e v="#N/A"/>
    <e v="#N/A"/>
    <e v="#N/A"/>
    <n v="118.8804016113281"/>
    <n v="1.188804016113281E-30"/>
    <e v="#N/A"/>
    <e v="#N/A"/>
    <e v="#N/A"/>
    <e v="#N/A"/>
    <e v="#N/A"/>
    <e v="#N/A"/>
    <n v="0"/>
    <e v="#N/A"/>
  </r>
  <r>
    <x v="6"/>
    <x v="38"/>
    <x v="38"/>
    <d v="2025-03-26T00:00:00"/>
    <n v="1.0000000000000001E-32"/>
    <e v="#N/A"/>
    <e v="#N/A"/>
    <n v="7.0000000000000007E-2"/>
    <n v="0.19"/>
    <n v="0.36842105263157898"/>
    <n v="1.6530780765739512E-2"/>
    <e v="#N/A"/>
    <e v="#N/A"/>
    <e v="#N/A"/>
    <n v="57.610000610351563"/>
    <n v="5.7610000610351566E-31"/>
    <e v="#N/A"/>
    <e v="#N/A"/>
    <e v="#N/A"/>
    <e v="#N/A"/>
    <e v="#N/A"/>
    <e v="#N/A"/>
    <n v="0"/>
    <e v="#N/A"/>
  </r>
  <r>
    <x v="6"/>
    <x v="39"/>
    <x v="39"/>
    <d v="2025-03-26T00:00:00"/>
    <n v="1.0000000000000001E-32"/>
    <e v="#N/A"/>
    <e v="#N/A"/>
    <n v="7.0000000000000007E-2"/>
    <n v="0.4"/>
    <n v="0.17500000000000002"/>
    <n v="7.8521208637262682E-3"/>
    <e v="#N/A"/>
    <e v="#N/A"/>
    <e v="#N/A"/>
    <n v="43.389999389648438"/>
    <n v="4.3389999389648436E-31"/>
    <e v="#N/A"/>
    <e v="#N/A"/>
    <e v="#N/A"/>
    <e v="#N/A"/>
    <e v="#N/A"/>
    <e v="#N/A"/>
    <n v="0"/>
    <e v="#N/A"/>
  </r>
  <r>
    <x v="2"/>
    <x v="40"/>
    <x v="40"/>
    <d v="2025-03-26T00:00:00"/>
    <n v="1.0000000000000001E-32"/>
    <e v="#N/A"/>
    <e v="#N/A"/>
    <n v="0.1"/>
    <n v="0.22550000000000001"/>
    <n v="0.44345898004434592"/>
    <n v="1.9897677196645591E-2"/>
    <e v="#N/A"/>
    <e v="#N/A"/>
    <e v="#N/A"/>
    <n v="16.629999160766602"/>
    <n v="1.6629999160766602E-31"/>
    <e v="#N/A"/>
    <e v="#N/A"/>
    <e v="#N/A"/>
    <e v="#N/A"/>
    <e v="#N/A"/>
    <e v="#N/A"/>
    <n v="0"/>
    <e v="#N/A"/>
  </r>
  <r>
    <x v="0"/>
    <x v="41"/>
    <x v="41"/>
    <d v="2025-03-26T00:00:00"/>
    <n v="1.0000000000000001E-32"/>
    <e v="#N/A"/>
    <e v="#N/A"/>
    <n v="0.05"/>
    <n v="0.66810000000000003"/>
    <n v="7.4839095943720998E-2"/>
    <n v="3.35797500961202E-3"/>
    <e v="#N/A"/>
    <e v="#N/A"/>
    <e v="#N/A"/>
    <n v="17.75"/>
    <n v="1.7750000000000002E-31"/>
    <e v="#N/A"/>
    <e v="#N/A"/>
    <e v="#N/A"/>
    <e v="#N/A"/>
    <e v="#N/A"/>
    <e v="#N/A"/>
    <n v="0"/>
    <e v="#N/A"/>
  </r>
  <r>
    <x v="7"/>
    <x v="42"/>
    <x v="42"/>
    <d v="2025-03-26T00:00:00"/>
    <n v="1.0000000000000001E-32"/>
    <n v="19.222000122070309"/>
    <n v="1.9222000122070309E-31"/>
    <n v="0.1"/>
    <n v="0.15"/>
    <n v="0.66666666666666674"/>
    <n v="2.9912841385623876E-2"/>
    <n v="2.8833000183105462E-32"/>
    <n v="21.2"/>
    <n v="2.12E-31"/>
    <e v="#N/A"/>
    <n v="1.9222000122070309E-31"/>
    <n v="0"/>
    <n v="18.306666782924108"/>
    <n v="1.9779998779296903"/>
    <n v="-0.45766666957310065"/>
    <n v="1.5203332083565897"/>
    <e v="#N/A"/>
    <n v="0"/>
    <e v="#N/A"/>
  </r>
  <r>
    <x v="2"/>
    <x v="43"/>
    <x v="43"/>
    <d v="2025-03-26T00:00:00"/>
    <n v="1.0000000000000001E-32"/>
    <e v="#N/A"/>
    <e v="#N/A"/>
    <n v="0.28999999999999998"/>
    <n v="0.35510000000000003"/>
    <n v="0.81667136018023079"/>
    <n v="3.6643441291879422E-2"/>
    <e v="#N/A"/>
    <e v="#N/A"/>
    <e v="#N/A"/>
    <e v="#N/A"/>
    <e v="#N/A"/>
    <e v="#N/A"/>
    <e v="#N/A"/>
    <e v="#N/A"/>
    <e v="#N/A"/>
    <e v="#N/A"/>
    <e v="#N/A"/>
    <n v="0"/>
    <e v="#N/A"/>
  </r>
  <r>
    <x v="0"/>
    <x v="44"/>
    <x v="44"/>
    <d v="2025-03-26T00:00:00"/>
    <n v="1.0000000000000001E-32"/>
    <e v="#N/A"/>
    <e v="#N/A"/>
    <n v="0.05"/>
    <n v="0.72170000000000001"/>
    <n v="6.9280864625190522E-2"/>
    <n v="3.1085812718883062E-3"/>
    <e v="#N/A"/>
    <e v="#N/A"/>
    <e v="#N/A"/>
    <n v="9.1999998092651367"/>
    <n v="9.1999998092651368E-32"/>
    <e v="#N/A"/>
    <e v="#N/A"/>
    <e v="#N/A"/>
    <e v="#N/A"/>
    <e v="#N/A"/>
    <e v="#N/A"/>
    <n v="0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37825-BDAE-4FF0-A568-62A1451853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0" firstDataRow="1" firstDataCol="1" rowPageCount="1" colPageCount="1"/>
  <pivotFields count="30">
    <pivotField axis="axisRow" showAll="0" sortType="descending">
      <items count="19">
        <item sd="0" m="1" x="15"/>
        <item sd="0" m="1" x="17"/>
        <item sd="0" m="1" x="14"/>
        <item sd="0" m="1" x="9"/>
        <item sd="0" x="7"/>
        <item sd="0" m="1" x="16"/>
        <item sd="0" x="8"/>
        <item sd="0" m="1" x="12"/>
        <item sd="0" m="1" x="13"/>
        <item sd="0" x="1"/>
        <item sd="0" x="0"/>
        <item sd="0" x="3"/>
        <item sd="0" x="4"/>
        <item sd="0" m="1" x="10"/>
        <item sd="0" m="1" x="11"/>
        <item sd="0" x="5"/>
        <item sd="0" x="6"/>
        <item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7">
        <item sd="0" x="34"/>
        <item sd="0" x="19"/>
        <item sd="0" x="11"/>
        <item sd="0" x="6"/>
        <item sd="0" x="3"/>
        <item sd="0" x="24"/>
        <item sd="0" x="31"/>
        <item sd="0" x="38"/>
        <item sd="0" x="27"/>
        <item n="Batterey Value-Chain EURO" sd="0" x="17"/>
        <item n="Bitcoin ETF EURO" sd="0" x="5"/>
        <item sd="0" x="44"/>
        <item sd="0" x="35"/>
        <item sd="0" x="2"/>
        <item sd="0" x="25"/>
        <item sd="0" x="4"/>
        <item sd="0" x="26"/>
        <item sd="0" x="18"/>
        <item sd="0" x="29"/>
        <item sd="0" x="10"/>
        <item sd="0" x="15"/>
        <item sd="0" x="32"/>
        <item sd="0" x="41"/>
        <item sd="0" x="14"/>
        <item sd="0" x="28"/>
        <item sd="0" x="12"/>
        <item sd="0" m="1" x="45"/>
        <item sd="0" x="42"/>
        <item sd="0" x="9"/>
        <item sd="0" x="22"/>
        <item sd="0" x="13"/>
        <item sd="0" x="33"/>
        <item sd="0" x="37"/>
        <item sd="0" x="7"/>
        <item sd="0" x="40"/>
        <item sd="0" x="30"/>
        <item n="Robotics &amp; AI EURO" sd="0" x="16"/>
        <item sd="0" x="43"/>
        <item sd="0" x="0"/>
        <item sd="0" x="21"/>
        <item sd="0" x="36"/>
        <item sd="0" x="8"/>
        <item sd="0" x="39"/>
        <item sd="0" x="23"/>
        <item x="1"/>
        <item x="20"/>
        <item t="default" sd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 sortType="descending">
      <items count="59">
        <item sd="0" x="24"/>
        <item sd="0" x="11"/>
        <item sd="0" x="19"/>
        <item sd="0" x="31"/>
        <item sd="0" x="3"/>
        <item sd="0" x="38"/>
        <item sd="0" x="27"/>
        <item sd="0" m="1" x="46"/>
        <item sd="0" m="1" x="55"/>
        <item sd="0" m="1" x="45"/>
        <item sd="0" x="44"/>
        <item sd="0" x="22"/>
        <item sd="0" x="35"/>
        <item sd="0" x="25"/>
        <item sd="0" x="4"/>
        <item sd="0" x="26"/>
        <item sd="0" x="18"/>
        <item sd="0" x="29"/>
        <item sd="0" x="10"/>
        <item sd="0" x="15"/>
        <item sd="0" x="41"/>
        <item sd="0" x="14"/>
        <item sd="0" x="12"/>
        <item sd="0" m="1" x="54"/>
        <item sd="0" x="28"/>
        <item sd="0" x="34"/>
        <item sd="0" x="6"/>
        <item sd="0" x="9"/>
        <item sd="0" x="13"/>
        <item sd="0" x="33"/>
        <item sd="0" x="40"/>
        <item sd="0" x="7"/>
        <item sd="0" x="37"/>
        <item sd="0" x="30"/>
        <item sd="0" x="43"/>
        <item sd="0" x="0"/>
        <item sd="0" m="1" x="47"/>
        <item sd="0" m="1" x="48"/>
        <item sd="0" x="21"/>
        <item sd="0" x="5"/>
        <item sd="0" x="36"/>
        <item sd="0" x="8"/>
        <item sd="0" x="23"/>
        <item sd="0" x="39"/>
        <item sd="0" m="1" x="53"/>
        <item sd="0" m="1" x="57"/>
        <item m="1" x="56"/>
        <item m="1" x="52"/>
        <item x="1"/>
        <item x="2"/>
        <item m="1" x="51"/>
        <item m="1" x="49"/>
        <item m="1" x="50"/>
        <item x="20"/>
        <item x="16"/>
        <item x="17"/>
        <item x="32"/>
        <item x="4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4" showAll="0"/>
    <pivotField numFmtId="44" showAll="0"/>
    <pivotField dataField="1" numFmtId="44" showAll="0"/>
    <pivotField showAll="0"/>
    <pivotField showAll="0"/>
    <pivotField numFmtId="9" showAll="0"/>
    <pivotField numFmtId="9" showAll="0"/>
    <pivotField numFmtId="9" showAll="0"/>
    <pivotField numFmtId="44" showAll="0"/>
    <pivotField showAll="0"/>
    <pivotField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9" showAll="0"/>
    <pivotField numFmtId="9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axis="axisPage" showAll="0" sortType="descending">
      <items count="16">
        <item sd="0" x="0"/>
        <item sd="0" x="1"/>
        <item n="High Risk &gt;=20%" sd="0" x="2"/>
        <item n="Low Risk &lt;20%" sd="0"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 sd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2">
    <field x="0"/>
    <field x="1"/>
  </rowFields>
  <rowItems count="18">
    <i>
      <x v="11"/>
    </i>
    <i>
      <x v="9"/>
    </i>
    <i>
      <x v="12"/>
    </i>
    <i>
      <x v="4"/>
    </i>
    <i>
      <x v="16"/>
    </i>
    <i>
      <x v="6"/>
    </i>
    <i>
      <x v="17"/>
    </i>
    <i r="1">
      <x v="4"/>
    </i>
    <i r="1">
      <x v="41"/>
    </i>
    <i r="1">
      <x v="30"/>
    </i>
    <i r="1">
      <x v="15"/>
    </i>
    <i r="1">
      <x v="14"/>
    </i>
    <i r="1">
      <x v="12"/>
    </i>
    <i r="1">
      <x v="37"/>
    </i>
    <i r="1">
      <x v="34"/>
    </i>
    <i>
      <x v="10"/>
    </i>
    <i>
      <x v="1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29" hier="-1"/>
  </pageFields>
  <dataFields count="7">
    <dataField name="Initial Volume $" fld="6" baseField="0" baseItem="0" numFmtId="44"/>
    <dataField name="$%" fld="6" baseField="0" baseItem="7" numFmtId="9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Volatility " fld="28" baseField="0" baseItem="8" numFmtId="10"/>
    <dataField name="Target Return %" fld="24" baseField="0" baseItem="0" numFmtId="10"/>
    <dataField name="Target P&amp;L" fld="25" baseField="0" baseItem="0" numFmtId="44"/>
    <dataField name="Unrealized Gains %" fld="27" baseField="0" baseItem="8" numFmtId="10"/>
    <dataField name="Actual P&amp;L " fld="26" baseField="0" baseItem="0" numFmtId="44"/>
  </dataFields>
  <formats count="8"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outline="0" fieldPosition="0">
        <references count="1">
          <reference field="4294967294" count="1">
            <x v="3"/>
          </reference>
        </references>
      </pivotArea>
    </format>
    <format dxfId="4">
      <pivotArea outline="0" fieldPosition="0">
        <references count="1">
          <reference field="4294967294" count="1">
            <x v="5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1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0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63"/>
  <sheetViews>
    <sheetView tabSelected="1" workbookViewId="0">
      <selection activeCell="D77" sqref="D77"/>
    </sheetView>
  </sheetViews>
  <sheetFormatPr defaultRowHeight="15" outlineLevelCol="1" x14ac:dyDescent="0.25"/>
  <cols>
    <col min="1" max="1" width="19.7109375" bestFit="1" customWidth="1"/>
    <col min="2" max="2" width="20.28515625" bestFit="1" customWidth="1"/>
    <col min="3" max="3" width="11" bestFit="1" customWidth="1"/>
    <col min="4" max="4" width="30" style="8" bestFit="1" customWidth="1" outlineLevel="1"/>
    <col min="5" max="5" width="12.5703125" style="2" bestFit="1" customWidth="1" outlineLevel="1"/>
    <col min="6" max="6" width="10.42578125" style="1" bestFit="1" customWidth="1" outlineLevel="1"/>
    <col min="7" max="7" width="11.140625" style="1" bestFit="1" customWidth="1" outlineLevel="1"/>
    <col min="8" max="8" width="13.7109375" style="10" bestFit="1" customWidth="1" outlineLevel="1"/>
    <col min="9" max="9" width="11.42578125" style="10" customWidth="1" outlineLevel="1"/>
    <col min="10" max="10" width="9.140625" style="10" customWidth="1" outlineLevel="1"/>
    <col min="11" max="11" width="7.5703125" style="10" customWidth="1" outlineLevel="1"/>
    <col min="12" max="12" width="12.7109375" style="10" customWidth="1" outlineLevel="1"/>
    <col min="13" max="13" width="11.42578125" customWidth="1" outlineLevel="1"/>
    <col min="14" max="14" width="14.28515625" customWidth="1" outlineLevel="1"/>
    <col min="15" max="15" width="15.28515625" bestFit="1" customWidth="1"/>
    <col min="16" max="16" width="14.28515625" bestFit="1" customWidth="1"/>
    <col min="17" max="17" width="15" bestFit="1" customWidth="1"/>
    <col min="18" max="18" width="14.28515625" bestFit="1" customWidth="1"/>
    <col min="19" max="19" width="10.5703125" bestFit="1" customWidth="1"/>
    <col min="20" max="20" width="13.28515625" bestFit="1" customWidth="1"/>
    <col min="21" max="21" width="12.42578125" bestFit="1" customWidth="1"/>
    <col min="22" max="22" width="14.7109375" bestFit="1" customWidth="1"/>
    <col min="23" max="23" width="12.85546875" bestFit="1" customWidth="1"/>
    <col min="24" max="24" width="15.85546875" bestFit="1" customWidth="1"/>
  </cols>
  <sheetData>
    <row r="1" spans="1:24" ht="45" customHeight="1" x14ac:dyDescent="0.25">
      <c r="A1" s="16" t="s">
        <v>35</v>
      </c>
      <c r="B1" s="16" t="s">
        <v>0</v>
      </c>
      <c r="C1" s="16" t="s">
        <v>80</v>
      </c>
      <c r="D1" s="17" t="s">
        <v>1</v>
      </c>
      <c r="E1" s="18" t="s">
        <v>2</v>
      </c>
      <c r="F1" s="19" t="s">
        <v>3</v>
      </c>
      <c r="G1" s="19" t="s">
        <v>4</v>
      </c>
      <c r="H1" s="16" t="s">
        <v>93</v>
      </c>
      <c r="I1" s="16" t="s">
        <v>61</v>
      </c>
      <c r="J1" s="16" t="s">
        <v>62</v>
      </c>
      <c r="K1" s="16" t="s">
        <v>63</v>
      </c>
      <c r="L1" s="16" t="s">
        <v>135</v>
      </c>
      <c r="M1" s="16" t="s">
        <v>64</v>
      </c>
      <c r="N1" s="16" t="s">
        <v>108</v>
      </c>
      <c r="O1" s="16" t="s">
        <v>129</v>
      </c>
      <c r="P1" s="16" t="s">
        <v>130</v>
      </c>
      <c r="Q1" s="16" t="s">
        <v>131</v>
      </c>
      <c r="R1" s="16" t="s">
        <v>65</v>
      </c>
      <c r="S1" s="16" t="s">
        <v>66</v>
      </c>
      <c r="T1" s="16" t="s">
        <v>67</v>
      </c>
      <c r="U1" s="16" t="s">
        <v>68</v>
      </c>
      <c r="V1" s="16" t="s">
        <v>69</v>
      </c>
      <c r="W1" s="16" t="s">
        <v>79</v>
      </c>
      <c r="X1" s="16" t="s">
        <v>70</v>
      </c>
    </row>
    <row r="2" spans="1:24" hidden="1" x14ac:dyDescent="0.25">
      <c r="A2" t="s">
        <v>169</v>
      </c>
      <c r="B2" s="3" t="s">
        <v>21</v>
      </c>
      <c r="C2" t="s">
        <v>22</v>
      </c>
      <c r="D2" s="8">
        <f ca="1">IF(ISERROR(VLOOKUP(C2,[1]Sheet1!$C:$C,1,0)),TODAY(),_xlfn.MINIFS([1]Sheet1!$F:$F,[1]Sheet1!$C:$C,C2))</f>
        <v>45716.855662187503</v>
      </c>
      <c r="E2" s="2">
        <f>IFERROR(VLOOKUP(C2,'PBI Open Positions'!A:J,4,0),1E-32)</f>
        <v>0.55469999999999997</v>
      </c>
      <c r="F2" s="1">
        <f>IFERROR(VLOOKUP(C2,'PBI Open Positions'!A:J,5,0),VLOOKUP(C2,'Stock Selection'!C:H,6,0))</f>
        <v>160.52000000000001</v>
      </c>
      <c r="G2" s="1">
        <f t="shared" ref="G2:G47" si="0">E2*F2</f>
        <v>89.040444000000008</v>
      </c>
      <c r="H2" s="13">
        <f>227.4/F2-1</f>
        <v>0.41664590082232733</v>
      </c>
      <c r="I2" s="11">
        <v>0.37</v>
      </c>
      <c r="J2" s="9">
        <f t="shared" ref="J2:J47" si="1">IFERROR(H2/I2,"")</f>
        <v>1.1260700022225063</v>
      </c>
      <c r="K2" s="9">
        <f t="shared" ref="K2:K47" si="2">IFERROR(J2/SUBTOTAL(9,$J$2:$J$1048576),"")</f>
        <v>0.29277227352331037</v>
      </c>
      <c r="L2" s="9">
        <f t="shared" ref="L2:L47" si="3">I2*G2</f>
        <v>32.944964280000001</v>
      </c>
      <c r="M2" s="12">
        <f>F2/(1-(F2*(1+H2)-F2)/(F2*(1+H2)))</f>
        <v>227.4</v>
      </c>
      <c r="N2" s="12">
        <f t="shared" ref="N2:N47" si="4">M2*E2</f>
        <v>126.13878</v>
      </c>
      <c r="O2" s="12">
        <f>IFERROR(VLOOKUP(C2,'PBI Open Positions'!A:F,6,0),VLOOKUP(Positions!C2,'Stock Selection'!C:H,6,0))</f>
        <v>220.05</v>
      </c>
      <c r="P2" s="12">
        <f t="shared" ref="P2:P47" si="5">IFERROR(O2*E2,G2)</f>
        <v>122.061735</v>
      </c>
      <c r="Q2" s="12">
        <f t="shared" ref="Q2:Q47" si="6">P2-G2</f>
        <v>33.021290999999991</v>
      </c>
      <c r="R2" s="12">
        <f t="shared" ref="R2:R47" si="7">F2/(1+I2-H2)</f>
        <v>168.37395479650058</v>
      </c>
      <c r="S2" s="12">
        <f t="shared" ref="S2:S47" si="8">M2-F2</f>
        <v>66.88</v>
      </c>
      <c r="T2" s="12">
        <f t="shared" ref="T2:T47" si="9">0.5*(R2-F2)</f>
        <v>3.9269773982502869</v>
      </c>
      <c r="U2" s="15">
        <f t="shared" ref="U2:U47" si="10">S2+T2</f>
        <v>70.806977398250282</v>
      </c>
      <c r="V2" s="12">
        <f>SUBTOTAL(4,$U$2:$U$10000)-U2</f>
        <v>-41.277041860712771</v>
      </c>
      <c r="W2" s="9">
        <f t="shared" ref="W2:W47" si="11">IFERROR((SUBTOTAL(109,$V$2:$V$1048576)/V2)/SUBTOTAL(109,$V$2:$V$1048576),0)</f>
        <v>0</v>
      </c>
      <c r="X2" s="9">
        <f t="shared" ref="X2:X47" si="12">V2/MAX($V$2:$V$28)</f>
        <v>-0.23902994778640221</v>
      </c>
    </row>
    <row r="3" spans="1:24" hidden="1" x14ac:dyDescent="0.25">
      <c r="A3" t="s">
        <v>113</v>
      </c>
      <c r="B3" s="7" t="s">
        <v>161</v>
      </c>
      <c r="C3" t="s">
        <v>164</v>
      </c>
      <c r="D3" s="8">
        <f ca="1">IF(ISERROR(VLOOKUP(C3,[1]Sheet1!$C:$C,1,0)),TODAY(),_xlfn.MINIFS([1]Sheet1!$F:$F,[1]Sheet1!$C:$C,C3))</f>
        <v>45743.773895555547</v>
      </c>
      <c r="E3" s="2">
        <f>IFERROR(VLOOKUP(C3,'PBI Open Positions'!A:J,4,0),1E-32)</f>
        <v>2</v>
      </c>
      <c r="F3" s="1">
        <f>IFERROR(VLOOKUP(C3,'PBI Open Positions'!A:J,5,0),VLOOKUP(C3,'Stock Selection'!C:H,6,0))</f>
        <v>73.5</v>
      </c>
      <c r="G3" s="1">
        <f t="shared" si="0"/>
        <v>147</v>
      </c>
      <c r="H3" s="13">
        <v>4.4999999999999998E-2</v>
      </c>
      <c r="I3" s="11">
        <v>0.16500000000000001</v>
      </c>
      <c r="J3" s="9">
        <f t="shared" si="1"/>
        <v>0.27272727272727271</v>
      </c>
      <c r="K3" s="9">
        <f t="shared" si="2"/>
        <v>7.090765541270333E-2</v>
      </c>
      <c r="L3" s="9">
        <f t="shared" si="3"/>
        <v>24.255000000000003</v>
      </c>
      <c r="M3" s="12">
        <f>F3/(1-(F3*(1+H3)-F3)/(F3*(1+H3)))</f>
        <v>76.80749999999999</v>
      </c>
      <c r="N3" s="12">
        <f t="shared" si="4"/>
        <v>153.61499999999998</v>
      </c>
      <c r="O3" s="12">
        <f>IFERROR(VLOOKUP(C3,'PBI Open Positions'!A:F,6,0),VLOOKUP(Positions!C3,'Stock Selection'!C:H,6,0))</f>
        <v>73.28</v>
      </c>
      <c r="P3" s="12">
        <f t="shared" si="5"/>
        <v>146.56</v>
      </c>
      <c r="Q3" s="12">
        <f t="shared" si="6"/>
        <v>-0.43999999999999773</v>
      </c>
      <c r="R3" s="12">
        <f t="shared" si="7"/>
        <v>65.625</v>
      </c>
      <c r="S3" s="12">
        <f t="shared" si="8"/>
        <v>3.3074999999999903</v>
      </c>
      <c r="T3" s="12">
        <f t="shared" si="9"/>
        <v>-3.9375</v>
      </c>
      <c r="U3" s="15">
        <f t="shared" si="10"/>
        <v>-0.63000000000000966</v>
      </c>
      <c r="V3" s="12">
        <f t="shared" ref="V3:V63" si="13">SUBTOTAL(4,$U$2:$U$10000)-U3</f>
        <v>30.159935537537521</v>
      </c>
      <c r="W3" s="9">
        <f t="shared" si="11"/>
        <v>0</v>
      </c>
      <c r="X3" s="9">
        <f t="shared" si="12"/>
        <v>0.17465223988447806</v>
      </c>
    </row>
    <row r="4" spans="1:24" hidden="1" x14ac:dyDescent="0.25">
      <c r="A4" t="s">
        <v>113</v>
      </c>
      <c r="B4" s="7" t="s">
        <v>123</v>
      </c>
      <c r="C4" t="s">
        <v>165</v>
      </c>
      <c r="D4" s="8">
        <f ca="1">IF(ISERROR(VLOOKUP(C4,[1]Sheet1!$C:$C,1,0)),TODAY(),_xlfn.MINIFS([1]Sheet1!$F:$F,[1]Sheet1!$C:$C,C4))</f>
        <v>45686.832722349543</v>
      </c>
      <c r="E4" s="2">
        <f>IFERROR(VLOOKUP(C4,'PBI Open Positions'!A:J,4,0),1E-32)</f>
        <v>4</v>
      </c>
      <c r="F4" s="1">
        <f>IFERROR(VLOOKUP(C4,'PBI Open Positions'!A:J,5,0),VLOOKUP(C4,'Stock Selection'!C:H,6,0))</f>
        <v>45.61</v>
      </c>
      <c r="G4" s="1">
        <f t="shared" si="0"/>
        <v>182.44</v>
      </c>
      <c r="H4" s="13">
        <v>8.3000000000000004E-2</v>
      </c>
      <c r="I4" s="11">
        <v>0.16800000000000001</v>
      </c>
      <c r="J4" s="9">
        <f t="shared" si="1"/>
        <v>0.49404761904761907</v>
      </c>
      <c r="K4" s="9">
        <f t="shared" si="2"/>
        <v>0.12844978053928205</v>
      </c>
      <c r="L4" s="9">
        <f t="shared" si="3"/>
        <v>30.649920000000002</v>
      </c>
      <c r="M4" s="12">
        <f>F4/(1-(F4*(1+H4)-F4)/(F4*(1+H4)))</f>
        <v>49.395629999999997</v>
      </c>
      <c r="N4" s="12">
        <f t="shared" si="4"/>
        <v>197.58251999999999</v>
      </c>
      <c r="O4" s="12">
        <f>IFERROR(VLOOKUP(C4,'PBI Open Positions'!A:F,6,0),VLOOKUP(Positions!C4,'Stock Selection'!C:H,6,0))</f>
        <v>49.01</v>
      </c>
      <c r="P4" s="12">
        <f t="shared" si="5"/>
        <v>196.04</v>
      </c>
      <c r="Q4" s="12">
        <f t="shared" si="6"/>
        <v>13.599999999999994</v>
      </c>
      <c r="R4" s="12">
        <f t="shared" si="7"/>
        <v>42.036866359447004</v>
      </c>
      <c r="S4" s="12">
        <f t="shared" si="8"/>
        <v>3.7856299999999976</v>
      </c>
      <c r="T4" s="12">
        <f t="shared" si="9"/>
        <v>-1.7865668202764979</v>
      </c>
      <c r="U4" s="15">
        <f t="shared" si="10"/>
        <v>1.9990631797234997</v>
      </c>
      <c r="V4" s="12">
        <f t="shared" si="13"/>
        <v>27.530872357814012</v>
      </c>
      <c r="W4" s="9">
        <f t="shared" si="11"/>
        <v>0</v>
      </c>
      <c r="X4" s="9">
        <f t="shared" si="12"/>
        <v>0.15942767905724994</v>
      </c>
    </row>
    <row r="5" spans="1:24" hidden="1" x14ac:dyDescent="0.25">
      <c r="A5" t="s">
        <v>178</v>
      </c>
      <c r="B5" s="7" t="s">
        <v>92</v>
      </c>
      <c r="C5" t="s">
        <v>92</v>
      </c>
      <c r="D5" s="8">
        <f ca="1">IF(ISERROR(VLOOKUP(C5,[1]Sheet1!$C:$C,1,0)),TODAY(),_xlfn.MINIFS([1]Sheet1!$F:$F,[1]Sheet1!$C:$C,C5))</f>
        <v>45632.876670833342</v>
      </c>
      <c r="E5" s="2">
        <f>IFERROR(VLOOKUP(C5,'PBI Open Positions'!A:J,4,0),1E-32)</f>
        <v>6.8598999999999997</v>
      </c>
      <c r="F5" s="1">
        <f>IFERROR(VLOOKUP(C5,'PBI Open Positions'!A:J,5,0),VLOOKUP(C5,'Stock Selection'!C:H,6,0))</f>
        <v>18.940000000000001</v>
      </c>
      <c r="G5" s="1">
        <f t="shared" si="0"/>
        <v>129.92650599999999</v>
      </c>
      <c r="H5" s="13">
        <f>M5/F5-1</f>
        <v>0.40337909186906007</v>
      </c>
      <c r="I5" s="11">
        <v>0.40289999999999998</v>
      </c>
      <c r="J5" s="9">
        <f t="shared" si="1"/>
        <v>1.0011891086350462</v>
      </c>
      <c r="K5" s="9">
        <f t="shared" si="2"/>
        <v>0.26030389849950003</v>
      </c>
      <c r="L5" s="9">
        <f t="shared" si="3"/>
        <v>52.34738926739999</v>
      </c>
      <c r="M5" s="12">
        <v>26.58</v>
      </c>
      <c r="N5" s="12">
        <f t="shared" si="4"/>
        <v>182.33614199999997</v>
      </c>
      <c r="O5" s="12">
        <f>IFERROR(VLOOKUP(C5,'PBI Open Positions'!A:F,6,0),VLOOKUP(Positions!C5,'Stock Selection'!C:H,6,0))</f>
        <v>18.170000000000002</v>
      </c>
      <c r="P5" s="12">
        <f t="shared" si="5"/>
        <v>124.644383</v>
      </c>
      <c r="Q5" s="12">
        <f t="shared" si="6"/>
        <v>-5.2821229999999844</v>
      </c>
      <c r="R5" s="12">
        <f t="shared" si="7"/>
        <v>18.949078349363361</v>
      </c>
      <c r="S5" s="12">
        <f t="shared" si="8"/>
        <v>7.639999999999997</v>
      </c>
      <c r="T5" s="12">
        <f t="shared" si="9"/>
        <v>4.5391746816800804E-3</v>
      </c>
      <c r="U5" s="15">
        <f t="shared" si="10"/>
        <v>7.6445391746816771</v>
      </c>
      <c r="V5" s="12">
        <f t="shared" si="13"/>
        <v>21.885396362855836</v>
      </c>
      <c r="W5" s="9">
        <f t="shared" si="11"/>
        <v>0</v>
      </c>
      <c r="X5" s="9">
        <f t="shared" si="12"/>
        <v>0.12673546635320379</v>
      </c>
    </row>
    <row r="6" spans="1:24" hidden="1" x14ac:dyDescent="0.25">
      <c r="A6" t="s">
        <v>178</v>
      </c>
      <c r="B6" s="7" t="s">
        <v>47</v>
      </c>
      <c r="C6" t="s">
        <v>46</v>
      </c>
      <c r="D6" s="8">
        <f ca="1">IF(ISERROR(VLOOKUP(C6,[1]Sheet1!$C:$C,1,0)),TODAY(),_xlfn.MINIFS([1]Sheet1!$F:$F,[1]Sheet1!$C:$C,C6))</f>
        <v>45727.871675949071</v>
      </c>
      <c r="E6" s="2">
        <f>IFERROR(VLOOKUP(C6,'PBI Open Positions'!A:J,4,0),1E-32)</f>
        <v>0.497</v>
      </c>
      <c r="F6" s="1">
        <f>IFERROR(VLOOKUP(C6,'PBI Open Positions'!A:J,5,0),VLOOKUP(C6,'Stock Selection'!C:H,6,0))</f>
        <v>137.41999999999999</v>
      </c>
      <c r="G6" s="1">
        <f t="shared" si="0"/>
        <v>68.29773999999999</v>
      </c>
      <c r="H6" s="13">
        <f>196.02/F6-1</f>
        <v>0.42642992286421211</v>
      </c>
      <c r="I6" s="11">
        <v>0.52029999999999998</v>
      </c>
      <c r="J6" s="9">
        <f t="shared" si="1"/>
        <v>0.8195847066388855</v>
      </c>
      <c r="K6" s="9">
        <f t="shared" si="2"/>
        <v>0.21308770985286271</v>
      </c>
      <c r="L6" s="9">
        <f t="shared" si="3"/>
        <v>35.535314121999996</v>
      </c>
      <c r="M6" s="12">
        <f>F6/(1-(F6*(1+H6)-F6)/(F6*(1+H6)))</f>
        <v>196.02</v>
      </c>
      <c r="N6" s="12">
        <f t="shared" si="4"/>
        <v>97.421940000000006</v>
      </c>
      <c r="O6" s="12">
        <f>IFERROR(VLOOKUP(C6,'PBI Open Positions'!A:F,6,0),VLOOKUP(Positions!C6,'Stock Selection'!C:H,6,0))</f>
        <v>150.54</v>
      </c>
      <c r="P6" s="12">
        <f t="shared" si="5"/>
        <v>74.818379999999991</v>
      </c>
      <c r="Q6" s="12">
        <f t="shared" si="6"/>
        <v>6.5206400000000002</v>
      </c>
      <c r="R6" s="12">
        <f t="shared" si="7"/>
        <v>125.62735088231261</v>
      </c>
      <c r="S6" s="12">
        <f t="shared" si="8"/>
        <v>58.600000000000023</v>
      </c>
      <c r="T6" s="12">
        <f t="shared" si="9"/>
        <v>-5.8963245588436877</v>
      </c>
      <c r="U6" s="15">
        <f t="shared" si="10"/>
        <v>52.703675441156335</v>
      </c>
      <c r="V6" s="12">
        <f t="shared" si="13"/>
        <v>-23.173739903618824</v>
      </c>
      <c r="W6" s="9">
        <f t="shared" si="11"/>
        <v>0</v>
      </c>
      <c r="X6" s="9">
        <f t="shared" si="12"/>
        <v>-0.13419609520152811</v>
      </c>
    </row>
    <row r="7" spans="1:24" hidden="1" x14ac:dyDescent="0.25">
      <c r="A7" t="s">
        <v>113</v>
      </c>
      <c r="B7" s="7" t="s">
        <v>124</v>
      </c>
      <c r="C7" t="s">
        <v>114</v>
      </c>
      <c r="D7" s="8">
        <f ca="1">IF(ISERROR(VLOOKUP(C7,[1]Sheet1!$C:$C,1,0)),TODAY(),_xlfn.MINIFS([1]Sheet1!$F:$F,[1]Sheet1!$C:$C,C7))</f>
        <v>45833</v>
      </c>
      <c r="E7" s="2">
        <f>IFERROR(VLOOKUP(C7,'PBI Open Positions'!A:J,4,0),1E-32)</f>
        <v>1.0000000000000001E-32</v>
      </c>
      <c r="F7" s="1">
        <f>IFERROR(VLOOKUP(C7,'PBI Open Positions'!A:J,5,0),VLOOKUP(C7,'Stock Selection'!C:H,6,0))</f>
        <v>48.34</v>
      </c>
      <c r="G7" s="1">
        <f t="shared" si="0"/>
        <v>4.8340000000000008E-31</v>
      </c>
      <c r="H7" s="13">
        <v>0.1</v>
      </c>
      <c r="I7" s="11">
        <v>0.2</v>
      </c>
      <c r="J7" s="9">
        <f t="shared" si="1"/>
        <v>0.5</v>
      </c>
      <c r="K7" s="9">
        <f t="shared" si="2"/>
        <v>0.12999736825662278</v>
      </c>
      <c r="L7" s="9">
        <f t="shared" si="3"/>
        <v>9.6680000000000023E-32</v>
      </c>
      <c r="M7" s="12">
        <f>F7/(1-(F7*(1+H7)-F7)/(F7*(1+H7)))</f>
        <v>53.174000000000007</v>
      </c>
      <c r="N7" s="12">
        <f t="shared" si="4"/>
        <v>5.317400000000001E-31</v>
      </c>
      <c r="O7" s="12">
        <f>IFERROR(VLOOKUP(C7,'PBI Open Positions'!A:F,6,0),VLOOKUP(Positions!C7,'Stock Selection'!C:H,6,0))</f>
        <v>48.34</v>
      </c>
      <c r="P7" s="12">
        <f t="shared" si="5"/>
        <v>4.8340000000000008E-31</v>
      </c>
      <c r="Q7" s="12">
        <f t="shared" si="6"/>
        <v>0</v>
      </c>
      <c r="R7" s="12">
        <f t="shared" si="7"/>
        <v>43.945454545454552</v>
      </c>
      <c r="S7" s="12">
        <f t="shared" si="8"/>
        <v>4.8340000000000032</v>
      </c>
      <c r="T7" s="12">
        <f t="shared" si="9"/>
        <v>-2.1972727272727255</v>
      </c>
      <c r="U7" s="15">
        <f t="shared" si="10"/>
        <v>2.6367272727272777</v>
      </c>
      <c r="V7" s="12">
        <f t="shared" si="13"/>
        <v>26.893208264810234</v>
      </c>
      <c r="W7" s="9">
        <f t="shared" si="11"/>
        <v>0</v>
      </c>
      <c r="X7" s="9">
        <f t="shared" si="12"/>
        <v>0.15573504974116928</v>
      </c>
    </row>
    <row r="8" spans="1:24" hidden="1" x14ac:dyDescent="0.25">
      <c r="A8" t="s">
        <v>170</v>
      </c>
      <c r="B8" s="5" t="s">
        <v>6</v>
      </c>
      <c r="C8" t="s">
        <v>5</v>
      </c>
      <c r="D8" s="8">
        <f ca="1">IF(ISERROR(VLOOKUP(C8,[1]Sheet1!$C:$C,1,0)),TODAY(),_xlfn.MINIFS([1]Sheet1!$F:$F,[1]Sheet1!$C:$C,C8))</f>
        <v>45518.844285231477</v>
      </c>
      <c r="E8" s="2">
        <f>IFERROR(VLOOKUP(C8,'PBI Open Positions'!A:J,4,0),1E-32)</f>
        <v>2.3938999999999999</v>
      </c>
      <c r="F8" s="1">
        <f>IFERROR(VLOOKUP(C8,'PBI Open Positions'!A:J,5,0),VLOOKUP(C8,'Stock Selection'!C:H,6,0))</f>
        <v>54.2</v>
      </c>
      <c r="G8" s="1">
        <f t="shared" si="0"/>
        <v>129.74938</v>
      </c>
      <c r="H8" s="13">
        <f>16.68%+7%/4</f>
        <v>0.18430000000000002</v>
      </c>
      <c r="I8" s="11">
        <v>0.19980000000000001</v>
      </c>
      <c r="J8" s="9">
        <f t="shared" si="1"/>
        <v>0.92242242242242245</v>
      </c>
      <c r="K8" s="9">
        <f t="shared" si="2"/>
        <v>0.23982497467162744</v>
      </c>
      <c r="L8" s="9">
        <f t="shared" si="3"/>
        <v>25.923926124000001</v>
      </c>
      <c r="M8" s="12">
        <f>F8/(1-(F8*(1+H8)-F8)/(F8*(1+H8)))</f>
        <v>64.189059999999998</v>
      </c>
      <c r="N8" s="12">
        <f t="shared" si="4"/>
        <v>153.66219073399998</v>
      </c>
      <c r="O8" s="12">
        <f>IFERROR(VLOOKUP(C8,'PBI Open Positions'!A:F,6,0),VLOOKUP(Positions!C8,'Stock Selection'!C:H,6,0))</f>
        <v>59.93</v>
      </c>
      <c r="P8" s="12">
        <f t="shared" si="5"/>
        <v>143.46642699999998</v>
      </c>
      <c r="Q8" s="12">
        <f t="shared" si="6"/>
        <v>13.71704699999998</v>
      </c>
      <c r="R8" s="12">
        <f t="shared" si="7"/>
        <v>53.372722796651907</v>
      </c>
      <c r="S8" s="12">
        <f t="shared" si="8"/>
        <v>9.9890599999999949</v>
      </c>
      <c r="T8" s="12">
        <f t="shared" si="9"/>
        <v>-0.41363860167404809</v>
      </c>
      <c r="U8" s="15">
        <f t="shared" si="10"/>
        <v>9.5754213983259469</v>
      </c>
      <c r="V8" s="12">
        <f t="shared" si="13"/>
        <v>19.954514139211565</v>
      </c>
      <c r="W8" s="9">
        <f t="shared" si="11"/>
        <v>0</v>
      </c>
      <c r="X8" s="9">
        <f t="shared" si="12"/>
        <v>0.11555398007672057</v>
      </c>
    </row>
    <row r="9" spans="1:24" hidden="1" x14ac:dyDescent="0.25">
      <c r="A9" t="s">
        <v>170</v>
      </c>
      <c r="B9" s="5" t="s">
        <v>15</v>
      </c>
      <c r="C9" t="s">
        <v>16</v>
      </c>
      <c r="D9" s="8">
        <f ca="1">IF(ISERROR(VLOOKUP(C9,[1]Sheet1!$C:$C,1,0)),TODAY(),_xlfn.MINIFS([1]Sheet1!$F:$F,[1]Sheet1!$C:$C,C9))</f>
        <v>45460.885290520833</v>
      </c>
      <c r="E9" s="2">
        <f>IFERROR(VLOOKUP(C9,'PBI Open Positions'!A:J,4,0),1E-32)</f>
        <v>0.8085</v>
      </c>
      <c r="F9" s="1">
        <f>IFERROR(VLOOKUP(C9,'PBI Open Positions'!A:J,5,0),VLOOKUP(C9,'Stock Selection'!C:H,6,0))</f>
        <v>147.19</v>
      </c>
      <c r="G9" s="1">
        <f t="shared" si="0"/>
        <v>119.00311499999999</v>
      </c>
      <c r="H9" s="13">
        <v>6.7199999999999996E-2</v>
      </c>
      <c r="I9" s="11">
        <v>0.16439999999999999</v>
      </c>
      <c r="J9" s="9">
        <f t="shared" si="1"/>
        <v>0.40875912408759124</v>
      </c>
      <c r="K9" s="9">
        <f t="shared" si="2"/>
        <v>0.10627522076453834</v>
      </c>
      <c r="L9" s="9">
        <f t="shared" si="3"/>
        <v>19.564112106</v>
      </c>
      <c r="M9" s="12">
        <f>F9/(1-(F9*(1+H9)-F9)/(F9*(1+H9)))</f>
        <v>157.08116799999999</v>
      </c>
      <c r="N9" s="12">
        <f t="shared" si="4"/>
        <v>127.000124328</v>
      </c>
      <c r="O9" s="12">
        <f>IFERROR(VLOOKUP(C9,'PBI Open Positions'!A:F,6,0),VLOOKUP(Positions!C9,'Stock Selection'!C:H,6,0))</f>
        <v>131.08000000000001</v>
      </c>
      <c r="P9" s="12">
        <f t="shared" si="5"/>
        <v>105.97818000000001</v>
      </c>
      <c r="Q9" s="12">
        <f t="shared" si="6"/>
        <v>-13.024934999999985</v>
      </c>
      <c r="R9" s="12">
        <f t="shared" si="7"/>
        <v>134.15056507473568</v>
      </c>
      <c r="S9" s="12">
        <f t="shared" si="8"/>
        <v>9.8911679999999933</v>
      </c>
      <c r="T9" s="12">
        <f t="shared" si="9"/>
        <v>-6.5197174626321583</v>
      </c>
      <c r="U9" s="15">
        <f t="shared" si="10"/>
        <v>3.371450537367835</v>
      </c>
      <c r="V9" s="12">
        <f t="shared" si="13"/>
        <v>26.158485000169676</v>
      </c>
      <c r="W9" s="9">
        <f t="shared" si="11"/>
        <v>0</v>
      </c>
      <c r="X9" s="9">
        <f t="shared" si="12"/>
        <v>0.15148036346357432</v>
      </c>
    </row>
    <row r="10" spans="1:24" hidden="1" x14ac:dyDescent="0.25">
      <c r="A10" t="s">
        <v>178</v>
      </c>
      <c r="B10" s="7" t="s">
        <v>101</v>
      </c>
      <c r="C10" t="s">
        <v>101</v>
      </c>
      <c r="D10" s="8">
        <f ca="1">IF(ISERROR(VLOOKUP(C10,[1]Sheet1!$C:$C,1,0)),TODAY(),_xlfn.MINIFS([1]Sheet1!$F:$F,[1]Sheet1!$C:$C,C10))</f>
        <v>45663.737502638891</v>
      </c>
      <c r="E10" s="2">
        <f>IFERROR(VLOOKUP(C10,'PBI Open Positions'!A:J,4,0),1E-32)</f>
        <v>2.4948000000000001</v>
      </c>
      <c r="F10" s="1">
        <f>IFERROR(VLOOKUP(C10,'PBI Open Positions'!A:J,5,0),VLOOKUP(C10,'Stock Selection'!C:H,6,0))</f>
        <v>36.06</v>
      </c>
      <c r="G10" s="1">
        <f t="shared" si="0"/>
        <v>89.962488000000008</v>
      </c>
      <c r="H10" s="13">
        <f>M10/F10-1</f>
        <v>0.38657792567942306</v>
      </c>
      <c r="I10" s="11">
        <v>0.53110000000000002</v>
      </c>
      <c r="J10" s="9">
        <f t="shared" si="1"/>
        <v>0.7278816149113595</v>
      </c>
      <c r="K10" s="9">
        <f t="shared" si="2"/>
        <v>0.18924538868171459</v>
      </c>
      <c r="L10" s="9">
        <f t="shared" si="3"/>
        <v>47.779077376800004</v>
      </c>
      <c r="M10" s="12">
        <v>50</v>
      </c>
      <c r="N10" s="12">
        <f t="shared" si="4"/>
        <v>124.74000000000001</v>
      </c>
      <c r="O10" s="12">
        <f>IFERROR(VLOOKUP(C10,'PBI Open Positions'!A:F,6,0),VLOOKUP(Positions!C10,'Stock Selection'!C:H,6,0))</f>
        <v>34.369999999999997</v>
      </c>
      <c r="P10" s="12">
        <f t="shared" si="5"/>
        <v>85.746275999999995</v>
      </c>
      <c r="Q10" s="12">
        <f t="shared" si="6"/>
        <v>-4.2162120000000129</v>
      </c>
      <c r="R10" s="12">
        <f t="shared" si="7"/>
        <v>31.506600710524797</v>
      </c>
      <c r="S10" s="12">
        <f t="shared" si="8"/>
        <v>13.939999999999998</v>
      </c>
      <c r="T10" s="12">
        <f t="shared" si="9"/>
        <v>-2.2766996447376027</v>
      </c>
      <c r="U10" s="15">
        <f t="shared" si="10"/>
        <v>11.663300355262395</v>
      </c>
      <c r="V10" s="12">
        <f t="shared" si="13"/>
        <v>17.866635182275118</v>
      </c>
      <c r="W10" s="9">
        <f t="shared" si="11"/>
        <v>0</v>
      </c>
      <c r="X10" s="9">
        <f t="shared" si="12"/>
        <v>0.10346334626277341</v>
      </c>
    </row>
    <row r="11" spans="1:24" hidden="1" x14ac:dyDescent="0.25">
      <c r="A11" t="s">
        <v>169</v>
      </c>
      <c r="B11" s="3" t="s">
        <v>11</v>
      </c>
      <c r="C11" t="s">
        <v>12</v>
      </c>
      <c r="D11" s="8">
        <f ca="1">IF(ISERROR(VLOOKUP(C11,[1]Sheet1!$C:$C,1,0)),TODAY(),_xlfn.MINIFS([1]Sheet1!$F:$F,[1]Sheet1!$C:$C,C11))</f>
        <v>45695.856199502312</v>
      </c>
      <c r="E11" s="2">
        <f>IFERROR(VLOOKUP(C11,'PBI Open Positions'!A:J,4,0),1E-32)</f>
        <v>1E-3</v>
      </c>
      <c r="F11" s="1">
        <f>IFERROR(VLOOKUP(C11,'PBI Open Positions'!A:J,5,0),VLOOKUP(C11,'Stock Selection'!C:H,6,0))</f>
        <v>410</v>
      </c>
      <c r="G11" s="1">
        <f t="shared" si="0"/>
        <v>0.41000000000000003</v>
      </c>
      <c r="H11" s="13">
        <v>0.15</v>
      </c>
      <c r="I11" s="11">
        <v>0.1963</v>
      </c>
      <c r="J11" s="9">
        <f t="shared" si="1"/>
        <v>0.76413652572592972</v>
      </c>
      <c r="K11" s="9">
        <f t="shared" si="2"/>
        <v>0.19867147466626001</v>
      </c>
      <c r="L11" s="9">
        <f t="shared" si="3"/>
        <v>8.0483000000000013E-2</v>
      </c>
      <c r="M11" s="12">
        <f t="shared" ref="M11:M43" si="14">F11/(1-(F11*(1+H11)-F11)/(F11*(1+H11)))</f>
        <v>471.49999999999994</v>
      </c>
      <c r="N11" s="12">
        <f t="shared" si="4"/>
        <v>0.47149999999999997</v>
      </c>
      <c r="O11" s="12">
        <f>IFERROR(VLOOKUP(C11,'PBI Open Positions'!A:F,6,0),VLOOKUP(Positions!C11,'Stock Selection'!C:H,6,0))</f>
        <v>490</v>
      </c>
      <c r="P11" s="12">
        <f t="shared" si="5"/>
        <v>0.49</v>
      </c>
      <c r="Q11" s="12">
        <f t="shared" si="6"/>
        <v>7.999999999999996E-2</v>
      </c>
      <c r="R11" s="12">
        <f t="shared" si="7"/>
        <v>391.85701997515054</v>
      </c>
      <c r="S11" s="12">
        <f t="shared" si="8"/>
        <v>61.499999999999943</v>
      </c>
      <c r="T11" s="12">
        <f t="shared" si="9"/>
        <v>-9.0714900124247322</v>
      </c>
      <c r="U11" s="15">
        <f t="shared" si="10"/>
        <v>52.428509987575211</v>
      </c>
      <c r="V11" s="12">
        <f t="shared" si="13"/>
        <v>-22.8985744500377</v>
      </c>
      <c r="W11" s="9">
        <f t="shared" si="11"/>
        <v>0</v>
      </c>
      <c r="X11" s="9">
        <f t="shared" si="12"/>
        <v>-0.13260264806875963</v>
      </c>
    </row>
    <row r="12" spans="1:24" x14ac:dyDescent="0.25">
      <c r="A12" t="s">
        <v>171</v>
      </c>
      <c r="B12" s="4" t="s">
        <v>83</v>
      </c>
      <c r="C12" s="32" t="s">
        <v>84</v>
      </c>
      <c r="D12" s="8">
        <f ca="1">IF(ISERROR(VLOOKUP(C12,[1]Sheet1!$C:$C,1,0)),TODAY(),_xlfn.MINIFS([1]Sheet1!$F:$F,[1]Sheet1!$C:$C,C12))</f>
        <v>45623.749511168979</v>
      </c>
      <c r="E12" s="2">
        <f>IFERROR(VLOOKUP(C12,'PBI Open Positions'!A:J,4,0),1E-32)</f>
        <v>4.8753000000000002</v>
      </c>
      <c r="F12" s="1">
        <f>IFERROR(VLOOKUP(C12,'PBI Open Positions'!A:J,5,0),VLOOKUP(C12,'Stock Selection'!C:H,6,0))</f>
        <v>17.559999999999999</v>
      </c>
      <c r="G12" s="1">
        <f t="shared" si="0"/>
        <v>85.610267999999991</v>
      </c>
      <c r="H12" s="13">
        <v>9.0200000000000002E-2</v>
      </c>
      <c r="I12" s="11">
        <v>0.27889999999999998</v>
      </c>
      <c r="J12" s="9">
        <f t="shared" si="1"/>
        <v>0.32341340982430983</v>
      </c>
      <c r="K12" s="9">
        <f t="shared" si="2"/>
        <v>8.4085784272121739E-2</v>
      </c>
      <c r="L12" s="9">
        <f t="shared" si="3"/>
        <v>23.876703745199997</v>
      </c>
      <c r="M12" s="12">
        <f t="shared" si="14"/>
        <v>19.143912</v>
      </c>
      <c r="N12" s="12">
        <f t="shared" si="4"/>
        <v>93.332314173600011</v>
      </c>
      <c r="O12" s="12">
        <f>IFERROR(VLOOKUP(C12,'PBI Open Positions'!A:F,6,0),VLOOKUP(Positions!C12,'Stock Selection'!C:H,6,0))</f>
        <v>21.35</v>
      </c>
      <c r="P12" s="12">
        <f t="shared" si="5"/>
        <v>104.08765500000001</v>
      </c>
      <c r="Q12" s="12">
        <f t="shared" si="6"/>
        <v>18.477387000000022</v>
      </c>
      <c r="R12" s="12">
        <f t="shared" si="7"/>
        <v>14.772440481197949</v>
      </c>
      <c r="S12" s="12">
        <f t="shared" si="8"/>
        <v>1.5839120000000015</v>
      </c>
      <c r="T12" s="12">
        <f t="shared" si="9"/>
        <v>-1.3937797594010251</v>
      </c>
      <c r="U12" s="15">
        <f t="shared" si="10"/>
        <v>0.19013224059897649</v>
      </c>
      <c r="V12" s="12">
        <f t="shared" si="13"/>
        <v>29.339803296938534</v>
      </c>
      <c r="W12" s="9">
        <f t="shared" si="11"/>
        <v>0</v>
      </c>
      <c r="X12" s="9">
        <f t="shared" si="12"/>
        <v>0.16990296140396499</v>
      </c>
    </row>
    <row r="13" spans="1:24" hidden="1" x14ac:dyDescent="0.25">
      <c r="A13" t="s">
        <v>170</v>
      </c>
      <c r="B13" s="5" t="s">
        <v>99</v>
      </c>
      <c r="C13" s="32" t="s">
        <v>96</v>
      </c>
      <c r="D13" s="8">
        <f ca="1">IF(ISERROR(VLOOKUP(C13,[1]Sheet1!$C:$C,1,0)),TODAY(),_xlfn.MINIFS([1]Sheet1!$F:$F,[1]Sheet1!$C:$C,C13))</f>
        <v>45693.855017106478</v>
      </c>
      <c r="E13" s="2">
        <f>IFERROR(VLOOKUP(C13,'PBI Open Positions'!A:J,4,0),1E-32)</f>
        <v>6</v>
      </c>
      <c r="F13" s="1">
        <f>IFERROR(VLOOKUP(C13,'PBI Open Positions'!A:J,5,0),VLOOKUP(C13,'Stock Selection'!C:H,6,0))</f>
        <v>21.05</v>
      </c>
      <c r="G13" s="1">
        <f t="shared" si="0"/>
        <v>126.30000000000001</v>
      </c>
      <c r="H13" s="13">
        <v>0.2</v>
      </c>
      <c r="I13" s="11">
        <v>0.2</v>
      </c>
      <c r="J13" s="9">
        <f t="shared" si="1"/>
        <v>1</v>
      </c>
      <c r="K13" s="9">
        <f t="shared" si="2"/>
        <v>0.25999473651324556</v>
      </c>
      <c r="L13" s="9">
        <f t="shared" si="3"/>
        <v>25.260000000000005</v>
      </c>
      <c r="M13" s="12">
        <f t="shared" si="14"/>
        <v>25.26</v>
      </c>
      <c r="N13" s="12">
        <f t="shared" si="4"/>
        <v>151.56</v>
      </c>
      <c r="O13" s="12">
        <f>IFERROR(VLOOKUP(C13,'PBI Open Positions'!A:F,6,0),VLOOKUP(Positions!C13,'Stock Selection'!C:H,6,0))</f>
        <v>21.68</v>
      </c>
      <c r="P13" s="12">
        <f t="shared" si="5"/>
        <v>130.07999999999998</v>
      </c>
      <c r="Q13" s="12">
        <f t="shared" si="6"/>
        <v>3.7799999999999727</v>
      </c>
      <c r="R13" s="12">
        <f t="shared" si="7"/>
        <v>21.05</v>
      </c>
      <c r="S13" s="12">
        <f t="shared" si="8"/>
        <v>4.2100000000000009</v>
      </c>
      <c r="T13" s="12">
        <f t="shared" si="9"/>
        <v>0</v>
      </c>
      <c r="U13" s="15">
        <f t="shared" si="10"/>
        <v>4.2100000000000009</v>
      </c>
      <c r="V13" s="12">
        <f t="shared" si="13"/>
        <v>25.319935537537511</v>
      </c>
      <c r="W13" s="9">
        <f t="shared" si="11"/>
        <v>0</v>
      </c>
      <c r="X13" s="9">
        <f t="shared" si="12"/>
        <v>0.14662443326039623</v>
      </c>
    </row>
    <row r="14" spans="1:24" x14ac:dyDescent="0.25">
      <c r="A14" t="s">
        <v>171</v>
      </c>
      <c r="B14" s="4" t="s">
        <v>8</v>
      </c>
      <c r="C14" t="s">
        <v>28</v>
      </c>
      <c r="D14" s="8">
        <f ca="1">IF(ISERROR(VLOOKUP(C14,[1]Sheet1!$C:$C,1,0)),TODAY(),_xlfn.MINIFS([1]Sheet1!$F:$F,[1]Sheet1!$C:$C,C14))</f>
        <v>45645.901439305548</v>
      </c>
      <c r="E14" s="2">
        <f>IFERROR(VLOOKUP(C14,'PBI Open Positions'!A:J,4,0),1E-32)</f>
        <v>7.8100000000000003E-2</v>
      </c>
      <c r="F14" s="1">
        <f>IFERROR(VLOOKUP(C14,'PBI Open Positions'!A:J,5,0),VLOOKUP(C14,'Stock Selection'!C:H,6,0))</f>
        <v>518.04999999999995</v>
      </c>
      <c r="G14" s="1">
        <f t="shared" si="0"/>
        <v>40.459705</v>
      </c>
      <c r="H14" s="13">
        <v>9.5899999999999999E-2</v>
      </c>
      <c r="I14" s="11">
        <v>0.1865</v>
      </c>
      <c r="J14" s="9">
        <f t="shared" si="1"/>
        <v>0.51420911528150137</v>
      </c>
      <c r="K14" s="9">
        <f t="shared" si="2"/>
        <v>0.13369166344032307</v>
      </c>
      <c r="L14" s="9">
        <f t="shared" si="3"/>
        <v>7.5457349825</v>
      </c>
      <c r="M14" s="12">
        <f t="shared" si="14"/>
        <v>567.73099500000001</v>
      </c>
      <c r="N14" s="12">
        <f t="shared" si="4"/>
        <v>44.339790709500001</v>
      </c>
      <c r="O14" s="12">
        <f>IFERROR(VLOOKUP(C14,'PBI Open Positions'!A:F,6,0),VLOOKUP(Positions!C14,'Stock Selection'!C:H,6,0))</f>
        <v>556.34</v>
      </c>
      <c r="P14" s="12">
        <f t="shared" si="5"/>
        <v>43.450154000000005</v>
      </c>
      <c r="Q14" s="12">
        <f t="shared" si="6"/>
        <v>2.9904490000000052</v>
      </c>
      <c r="R14" s="12">
        <f t="shared" si="7"/>
        <v>475.01375389693743</v>
      </c>
      <c r="S14" s="12">
        <f t="shared" si="8"/>
        <v>49.680995000000053</v>
      </c>
      <c r="T14" s="12">
        <f t="shared" si="9"/>
        <v>-21.518123051531262</v>
      </c>
      <c r="U14" s="15">
        <f t="shared" si="10"/>
        <v>28.162871948468791</v>
      </c>
      <c r="V14" s="12">
        <f t="shared" si="13"/>
        <v>1.3670635890687208</v>
      </c>
      <c r="W14" s="9">
        <f t="shared" si="11"/>
        <v>0</v>
      </c>
      <c r="X14" s="9">
        <f t="shared" si="12"/>
        <v>7.9164863465374623E-3</v>
      </c>
    </row>
    <row r="15" spans="1:24" hidden="1" x14ac:dyDescent="0.25">
      <c r="A15" t="s">
        <v>178</v>
      </c>
      <c r="B15" s="7" t="s">
        <v>26</v>
      </c>
      <c r="C15" t="s">
        <v>27</v>
      </c>
      <c r="D15" s="8">
        <f ca="1">IF(ISERROR(VLOOKUP(C15,[1]Sheet1!$C:$C,1,0)),TODAY(),_xlfn.MINIFS([1]Sheet1!$F:$F,[1]Sheet1!$C:$C,C15))</f>
        <v>45511.860491932872</v>
      </c>
      <c r="E15" s="2">
        <f>IFERROR(VLOOKUP(C15,'PBI Open Positions'!A:J,4,0),1E-32)</f>
        <v>0.96689999999999998</v>
      </c>
      <c r="F15" s="1">
        <f>IFERROR(VLOOKUP(C15,'PBI Open Positions'!A:J,5,0),VLOOKUP(C15,'Stock Selection'!C:H,6,0))</f>
        <v>72.38</v>
      </c>
      <c r="G15" s="1">
        <f t="shared" si="0"/>
        <v>69.984221999999988</v>
      </c>
      <c r="H15" s="13">
        <v>0.05</v>
      </c>
      <c r="I15" s="11">
        <v>0.27860000000000001</v>
      </c>
      <c r="J15" s="9">
        <f t="shared" si="1"/>
        <v>0.17946877243359655</v>
      </c>
      <c r="K15" s="9">
        <f t="shared" si="2"/>
        <v>4.6660936201228562E-2</v>
      </c>
      <c r="L15" s="9">
        <f t="shared" si="3"/>
        <v>19.497604249199998</v>
      </c>
      <c r="M15" s="12">
        <f t="shared" si="14"/>
        <v>75.998999999999995</v>
      </c>
      <c r="N15" s="12">
        <f t="shared" si="4"/>
        <v>73.483433099999999</v>
      </c>
      <c r="O15" s="12">
        <f>IFERROR(VLOOKUP(C15,'PBI Open Positions'!A:F,6,0),VLOOKUP(Positions!C15,'Stock Selection'!C:H,6,0))</f>
        <v>71.42</v>
      </c>
      <c r="P15" s="12">
        <f t="shared" si="5"/>
        <v>69.055998000000002</v>
      </c>
      <c r="Q15" s="12">
        <f t="shared" si="6"/>
        <v>-0.92822399999998595</v>
      </c>
      <c r="R15" s="12">
        <f t="shared" si="7"/>
        <v>58.912583428292365</v>
      </c>
      <c r="S15" s="12">
        <f t="shared" si="8"/>
        <v>3.6189999999999998</v>
      </c>
      <c r="T15" s="12">
        <f t="shared" si="9"/>
        <v>-6.7337082858538153</v>
      </c>
      <c r="U15" s="15">
        <f t="shared" si="10"/>
        <v>-3.1147082858538155</v>
      </c>
      <c r="V15" s="12">
        <f t="shared" si="13"/>
        <v>32.644643823391327</v>
      </c>
      <c r="W15" s="9">
        <f t="shared" si="11"/>
        <v>0</v>
      </c>
      <c r="X15" s="9">
        <f t="shared" si="12"/>
        <v>0.18904086041199133</v>
      </c>
    </row>
    <row r="16" spans="1:24" hidden="1" x14ac:dyDescent="0.25">
      <c r="A16" t="s">
        <v>170</v>
      </c>
      <c r="B16" s="5" t="s">
        <v>19</v>
      </c>
      <c r="C16" t="s">
        <v>20</v>
      </c>
      <c r="D16" s="8">
        <f ca="1">IF(ISERROR(VLOOKUP(C16,[1]Sheet1!$C:$C,1,0)),TODAY(),_xlfn.MINIFS([1]Sheet1!$F:$F,[1]Sheet1!$C:$C,C16))</f>
        <v>45544.651635254631</v>
      </c>
      <c r="E16" s="2">
        <f>IFERROR(VLOOKUP(C16,'PBI Open Positions'!A:J,4,0),1E-32)</f>
        <v>0.47739999999999999</v>
      </c>
      <c r="F16" s="1">
        <f>IFERROR(VLOOKUP(C16,'PBI Open Positions'!A:J,5,0),VLOOKUP(C16,'Stock Selection'!C:H,6,0))</f>
        <v>134.88</v>
      </c>
      <c r="G16" s="1">
        <f t="shared" si="0"/>
        <v>64.391711999999998</v>
      </c>
      <c r="H16" s="13">
        <v>7.0000000000000007E-2</v>
      </c>
      <c r="I16" s="11">
        <v>0.18340000000000001</v>
      </c>
      <c r="J16" s="9">
        <f t="shared" si="1"/>
        <v>0.38167938931297712</v>
      </c>
      <c r="K16" s="9">
        <f t="shared" si="2"/>
        <v>9.9234632256963967E-2</v>
      </c>
      <c r="L16" s="9">
        <f t="shared" si="3"/>
        <v>11.809439980800001</v>
      </c>
      <c r="M16" s="12">
        <f t="shared" si="14"/>
        <v>144.32159999999999</v>
      </c>
      <c r="N16" s="12">
        <f t="shared" si="4"/>
        <v>68.899131839999995</v>
      </c>
      <c r="O16" s="12">
        <f>IFERROR(VLOOKUP(C16,'PBI Open Positions'!A:F,6,0),VLOOKUP(Positions!C16,'Stock Selection'!C:H,6,0))</f>
        <v>129.91</v>
      </c>
      <c r="P16" s="12">
        <f t="shared" si="5"/>
        <v>62.019033999999998</v>
      </c>
      <c r="Q16" s="12">
        <f t="shared" si="6"/>
        <v>-2.3726780000000005</v>
      </c>
      <c r="R16" s="12">
        <f t="shared" si="7"/>
        <v>121.14244656008623</v>
      </c>
      <c r="S16" s="12">
        <f t="shared" si="8"/>
        <v>9.441599999999994</v>
      </c>
      <c r="T16" s="12">
        <f t="shared" si="9"/>
        <v>-6.8687767199568839</v>
      </c>
      <c r="U16" s="15">
        <f t="shared" si="10"/>
        <v>2.5728232800431101</v>
      </c>
      <c r="V16" s="12">
        <f t="shared" si="13"/>
        <v>26.957112257494401</v>
      </c>
      <c r="W16" s="9">
        <f t="shared" si="11"/>
        <v>0</v>
      </c>
      <c r="X16" s="9">
        <f t="shared" si="12"/>
        <v>0.15610510940014835</v>
      </c>
    </row>
    <row r="17" spans="1:24" hidden="1" x14ac:dyDescent="0.25">
      <c r="A17" t="s">
        <v>170</v>
      </c>
      <c r="B17" s="6" t="s">
        <v>125</v>
      </c>
      <c r="C17" t="s">
        <v>43</v>
      </c>
      <c r="D17" s="8">
        <f ca="1">IF(ISERROR(VLOOKUP(C17,[1]Sheet1!$C:$C,1,0)),TODAY(),_xlfn.MINIFS([1]Sheet1!$F:$F,[1]Sheet1!$C:$C,C17))</f>
        <v>45580.706480879628</v>
      </c>
      <c r="E17" s="2">
        <f>IFERROR(VLOOKUP(C17,'PBI Open Positions'!A:J,4,0),1E-32)</f>
        <v>0.34860000000000002</v>
      </c>
      <c r="F17" s="1">
        <f>IFERROR(VLOOKUP(C17,'PBI Open Positions'!A:J,5,0),VLOOKUP(C17,'Stock Selection'!C:H,6,0))</f>
        <v>131.93</v>
      </c>
      <c r="G17" s="1">
        <f t="shared" si="0"/>
        <v>45.990798000000005</v>
      </c>
      <c r="H17" s="13">
        <v>0.1202</v>
      </c>
      <c r="I17" s="11">
        <v>0.33710000000000001</v>
      </c>
      <c r="J17" s="9">
        <f t="shared" si="1"/>
        <v>0.35657075051913378</v>
      </c>
      <c r="K17" s="9">
        <f t="shared" si="2"/>
        <v>9.2706518329552415E-2</v>
      </c>
      <c r="L17" s="9">
        <f t="shared" si="3"/>
        <v>15.503498005800003</v>
      </c>
      <c r="M17" s="12">
        <f t="shared" si="14"/>
        <v>147.78798600000002</v>
      </c>
      <c r="N17" s="12">
        <f t="shared" si="4"/>
        <v>51.518891919600009</v>
      </c>
      <c r="O17" s="12">
        <f>IFERROR(VLOOKUP(C17,'PBI Open Positions'!A:F,6,0),VLOOKUP(Positions!C17,'Stock Selection'!C:H,6,0))</f>
        <v>137.46</v>
      </c>
      <c r="P17" s="12">
        <f t="shared" si="5"/>
        <v>47.918556000000002</v>
      </c>
      <c r="Q17" s="12">
        <f t="shared" si="6"/>
        <v>1.9277579999999972</v>
      </c>
      <c r="R17" s="12">
        <f t="shared" si="7"/>
        <v>108.41482455419511</v>
      </c>
      <c r="S17" s="12">
        <f t="shared" si="8"/>
        <v>15.857986000000011</v>
      </c>
      <c r="T17" s="12">
        <f t="shared" si="9"/>
        <v>-11.75758772290245</v>
      </c>
      <c r="U17" s="15">
        <f t="shared" si="10"/>
        <v>4.1003982770975611</v>
      </c>
      <c r="V17" s="12">
        <f t="shared" si="13"/>
        <v>25.42953726043995</v>
      </c>
      <c r="W17" s="9">
        <f t="shared" si="11"/>
        <v>0</v>
      </c>
      <c r="X17" s="9">
        <f t="shared" si="12"/>
        <v>0.14725912249493667</v>
      </c>
    </row>
    <row r="18" spans="1:24" hidden="1" x14ac:dyDescent="0.25">
      <c r="A18" t="s">
        <v>113</v>
      </c>
      <c r="B18" s="7" t="s">
        <v>121</v>
      </c>
      <c r="C18" t="s">
        <v>196</v>
      </c>
      <c r="D18" s="8">
        <f ca="1">IF(ISERROR(VLOOKUP(C18,[1]Sheet1!$C:$C,1,0)),TODAY(),_xlfn.MINIFS([1]Sheet1!$F:$F,[1]Sheet1!$C:$C,C18))</f>
        <v>45482.712945567131</v>
      </c>
      <c r="E18" s="2">
        <f>IFERROR(VLOOKUP(C18,'PBI Open Positions'!A:J,4,0),1E-32)</f>
        <v>2</v>
      </c>
      <c r="F18" s="1">
        <f>IFERROR(VLOOKUP(C18,'PBI Open Positions'!A:J,5,0),VLOOKUP(C18,'Stock Selection'!C:H,6,0))</f>
        <v>20.93</v>
      </c>
      <c r="G18" s="1">
        <f t="shared" si="0"/>
        <v>41.86</v>
      </c>
      <c r="H18" s="13">
        <v>3.5000000000000003E-2</v>
      </c>
      <c r="I18" s="11">
        <v>0.16500000000000001</v>
      </c>
      <c r="J18" s="9">
        <f t="shared" si="1"/>
        <v>0.21212121212121213</v>
      </c>
      <c r="K18" s="9">
        <f t="shared" si="2"/>
        <v>5.515039865432482E-2</v>
      </c>
      <c r="L18" s="9">
        <f t="shared" si="3"/>
        <v>6.9069000000000003</v>
      </c>
      <c r="M18" s="12">
        <f t="shared" si="14"/>
        <v>21.66255</v>
      </c>
      <c r="N18" s="12">
        <f t="shared" si="4"/>
        <v>43.325099999999999</v>
      </c>
      <c r="O18" s="12">
        <f>IFERROR(VLOOKUP(C18,'PBI Open Positions'!A:F,6,0),VLOOKUP(Positions!C18,'Stock Selection'!C:H,6,0))</f>
        <v>20.58</v>
      </c>
      <c r="P18" s="12">
        <f t="shared" si="5"/>
        <v>41.16</v>
      </c>
      <c r="Q18" s="12">
        <f t="shared" si="6"/>
        <v>-0.70000000000000284</v>
      </c>
      <c r="R18" s="12">
        <f t="shared" si="7"/>
        <v>18.522123893805308</v>
      </c>
      <c r="S18" s="12">
        <f t="shared" si="8"/>
        <v>0.73254999999999981</v>
      </c>
      <c r="T18" s="12">
        <f t="shared" si="9"/>
        <v>-1.203938053097346</v>
      </c>
      <c r="U18" s="15">
        <f t="shared" si="10"/>
        <v>-0.47138805309734622</v>
      </c>
      <c r="V18" s="12">
        <f t="shared" si="13"/>
        <v>30.001323590634858</v>
      </c>
      <c r="W18" s="9">
        <f t="shared" si="11"/>
        <v>0</v>
      </c>
      <c r="X18" s="9">
        <f t="shared" si="12"/>
        <v>0.17373373885636711</v>
      </c>
    </row>
    <row r="19" spans="1:24" hidden="1" x14ac:dyDescent="0.25">
      <c r="A19" t="s">
        <v>113</v>
      </c>
      <c r="B19" s="7" t="s">
        <v>122</v>
      </c>
      <c r="C19" t="s">
        <v>197</v>
      </c>
      <c r="D19" s="8">
        <f ca="1">IF(ISERROR(VLOOKUP(C19,[1]Sheet1!$C:$C,1,0)),TODAY(),_xlfn.MINIFS([1]Sheet1!$F:$F,[1]Sheet1!$C:$C,C19))</f>
        <v>45484.678773298612</v>
      </c>
      <c r="E19" s="2">
        <f>IFERROR(VLOOKUP(C19,'PBI Open Positions'!A:J,4,0),1E-32)</f>
        <v>2</v>
      </c>
      <c r="F19" s="1">
        <f>IFERROR(VLOOKUP(C19,'PBI Open Positions'!A:J,5,0),VLOOKUP(C19,'Stock Selection'!C:H,6,0))</f>
        <v>17.510000000000002</v>
      </c>
      <c r="G19" s="1">
        <f t="shared" si="0"/>
        <v>35.020000000000003</v>
      </c>
      <c r="H19" s="13">
        <v>3.5000000000000003E-2</v>
      </c>
      <c r="I19" s="11">
        <v>0.16500000000000001</v>
      </c>
      <c r="J19" s="9">
        <f t="shared" si="1"/>
        <v>0.21212121212121213</v>
      </c>
      <c r="K19" s="9">
        <f t="shared" si="2"/>
        <v>5.515039865432482E-2</v>
      </c>
      <c r="L19" s="9">
        <f t="shared" si="3"/>
        <v>5.7783000000000007</v>
      </c>
      <c r="M19" s="12">
        <f t="shared" si="14"/>
        <v>18.12285</v>
      </c>
      <c r="N19" s="12">
        <f t="shared" si="4"/>
        <v>36.245699999999999</v>
      </c>
      <c r="O19" s="12">
        <f>IFERROR(VLOOKUP(C19,'PBI Open Positions'!A:F,6,0),VLOOKUP(Positions!C19,'Stock Selection'!C:H,6,0))</f>
        <v>17.559999999999999</v>
      </c>
      <c r="P19" s="12">
        <f t="shared" si="5"/>
        <v>35.119999999999997</v>
      </c>
      <c r="Q19" s="12">
        <f t="shared" si="6"/>
        <v>9.9999999999994316E-2</v>
      </c>
      <c r="R19" s="12">
        <f t="shared" si="7"/>
        <v>15.495575221238937</v>
      </c>
      <c r="S19" s="12">
        <f t="shared" si="8"/>
        <v>0.61284999999999812</v>
      </c>
      <c r="T19" s="12">
        <f t="shared" si="9"/>
        <v>-1.0072123893805323</v>
      </c>
      <c r="U19" s="15">
        <f t="shared" si="10"/>
        <v>-0.39436238938053414</v>
      </c>
      <c r="V19" s="12">
        <f t="shared" si="13"/>
        <v>29.924297926918044</v>
      </c>
      <c r="W19" s="9">
        <f t="shared" si="11"/>
        <v>0</v>
      </c>
      <c r="X19" s="9">
        <f t="shared" si="12"/>
        <v>0.17328769331757654</v>
      </c>
    </row>
    <row r="20" spans="1:24" hidden="1" x14ac:dyDescent="0.25">
      <c r="A20" t="s">
        <v>169</v>
      </c>
      <c r="B20" s="3" t="s">
        <v>18</v>
      </c>
      <c r="C20" t="s">
        <v>17</v>
      </c>
      <c r="D20" s="8">
        <f ca="1">IF(ISERROR(VLOOKUP(C20,[1]Sheet1!$C:$C,1,0)),TODAY(),_xlfn.MINIFS([1]Sheet1!$F:$F,[1]Sheet1!$C:$C,C20))</f>
        <v>45734.855767754627</v>
      </c>
      <c r="E20" s="2">
        <f>IFERROR(VLOOKUP(C20,'PBI Open Positions'!A:J,4,0),1E-32)</f>
        <v>2.8199999999999999E-2</v>
      </c>
      <c r="F20" s="1">
        <f>IFERROR(VLOOKUP(C20,'PBI Open Positions'!A:J,5,0),VLOOKUP(C20,'Stock Selection'!C:H,6,0))</f>
        <v>160.63999999999999</v>
      </c>
      <c r="G20" s="1">
        <f t="shared" si="0"/>
        <v>4.5300479999999999</v>
      </c>
      <c r="H20" s="13">
        <f>190.41/F20-1</f>
        <v>0.18532121513944233</v>
      </c>
      <c r="I20" s="11">
        <v>0.26790000000000003</v>
      </c>
      <c r="J20" s="9">
        <f t="shared" si="1"/>
        <v>0.69175518902367417</v>
      </c>
      <c r="K20" s="9">
        <f t="shared" si="2"/>
        <v>0.17985270810188056</v>
      </c>
      <c r="L20" s="9">
        <f t="shared" si="3"/>
        <v>1.2135998592000001</v>
      </c>
      <c r="M20" s="12">
        <f t="shared" si="14"/>
        <v>190.41</v>
      </c>
      <c r="N20" s="12">
        <f t="shared" si="4"/>
        <v>5.3695620000000002</v>
      </c>
      <c r="O20" s="12">
        <f>IFERROR(VLOOKUP(C20,'PBI Open Positions'!A:F,6,0),VLOOKUP(Positions!C20,'Stock Selection'!C:H,6,0))</f>
        <v>166.67</v>
      </c>
      <c r="P20" s="12">
        <f t="shared" si="5"/>
        <v>4.7000939999999991</v>
      </c>
      <c r="Q20" s="12">
        <f t="shared" si="6"/>
        <v>0.17004599999999925</v>
      </c>
      <c r="R20" s="12">
        <f t="shared" si="7"/>
        <v>148.38642900312453</v>
      </c>
      <c r="S20" s="12">
        <f t="shared" si="8"/>
        <v>29.77000000000001</v>
      </c>
      <c r="T20" s="12">
        <f t="shared" si="9"/>
        <v>-6.1267854984377266</v>
      </c>
      <c r="U20" s="15">
        <f t="shared" si="10"/>
        <v>23.643214501562284</v>
      </c>
      <c r="V20" s="12">
        <f t="shared" si="13"/>
        <v>5.8867210359752278</v>
      </c>
      <c r="W20" s="9">
        <f t="shared" si="11"/>
        <v>0</v>
      </c>
      <c r="X20" s="9">
        <f t="shared" si="12"/>
        <v>3.4089231166576056E-2</v>
      </c>
    </row>
    <row r="21" spans="1:24" hidden="1" x14ac:dyDescent="0.25">
      <c r="A21" t="s">
        <v>174</v>
      </c>
      <c r="B21" s="7" t="s">
        <v>95</v>
      </c>
      <c r="C21" s="32" t="s">
        <v>98</v>
      </c>
      <c r="D21" s="8">
        <f ca="1">IF(ISERROR(VLOOKUP(C21,[1]Sheet1!$C:$C,1,0)),TODAY(),_xlfn.MINIFS([1]Sheet1!$F:$F,[1]Sheet1!$C:$C,C21))</f>
        <v>45805.662107557873</v>
      </c>
      <c r="E21" s="2">
        <f>IFERROR(VLOOKUP(C21,'PBI Open Positions'!A:J,4,0),1E-32)</f>
        <v>1.7899999999999999E-2</v>
      </c>
      <c r="F21" s="1">
        <f>IFERROR(VLOOKUP(C21,'PBI Open Positions'!A:J,5,0),VLOOKUP(C21,'Stock Selection'!C:H,6,0))</f>
        <v>30.73</v>
      </c>
      <c r="G21" s="1">
        <f t="shared" si="0"/>
        <v>0.55006699999999997</v>
      </c>
      <c r="H21" s="13">
        <v>0.2</v>
      </c>
      <c r="I21" s="11">
        <v>0.2</v>
      </c>
      <c r="J21" s="9">
        <f t="shared" si="1"/>
        <v>1</v>
      </c>
      <c r="K21" s="9">
        <f t="shared" si="2"/>
        <v>0.25999473651324556</v>
      </c>
      <c r="L21" s="9">
        <f t="shared" si="3"/>
        <v>0.1100134</v>
      </c>
      <c r="M21" s="12">
        <f t="shared" si="14"/>
        <v>36.875999999999998</v>
      </c>
      <c r="N21" s="12">
        <f t="shared" si="4"/>
        <v>0.6600803999999999</v>
      </c>
      <c r="O21" s="12">
        <f>IFERROR(VLOOKUP(C21,'PBI Open Positions'!A:F,6,0),VLOOKUP(Positions!C21,'Stock Selection'!C:H,6,0))</f>
        <v>33.520000000000003</v>
      </c>
      <c r="P21" s="12">
        <f t="shared" si="5"/>
        <v>0.60000799999999999</v>
      </c>
      <c r="Q21" s="12">
        <f t="shared" si="6"/>
        <v>4.9941000000000013E-2</v>
      </c>
      <c r="R21" s="12">
        <f t="shared" si="7"/>
        <v>30.73</v>
      </c>
      <c r="S21" s="12">
        <f t="shared" si="8"/>
        <v>6.1459999999999972</v>
      </c>
      <c r="T21" s="12">
        <f t="shared" si="9"/>
        <v>0</v>
      </c>
      <c r="U21" s="15">
        <f t="shared" si="10"/>
        <v>6.1459999999999972</v>
      </c>
      <c r="V21" s="12">
        <f t="shared" si="13"/>
        <v>23.383935537537514</v>
      </c>
      <c r="W21" s="9">
        <f t="shared" si="11"/>
        <v>0</v>
      </c>
      <c r="X21" s="9">
        <f t="shared" si="12"/>
        <v>0.13541331061076353</v>
      </c>
    </row>
    <row r="22" spans="1:24" x14ac:dyDescent="0.25">
      <c r="A22" t="s">
        <v>171</v>
      </c>
      <c r="B22" s="4" t="s">
        <v>163</v>
      </c>
      <c r="C22" t="s">
        <v>166</v>
      </c>
      <c r="D22" s="8">
        <f ca="1">IF(ISERROR(VLOOKUP(C22,[1]Sheet1!$C:$C,1,0)),TODAY(),_xlfn.MINIFS([1]Sheet1!$F:$F,[1]Sheet1!$C:$C,C22))</f>
        <v>45764.854515208332</v>
      </c>
      <c r="E22" s="2">
        <f>IFERROR(VLOOKUP(C22,'PBI Open Positions'!A:J,4,0),1E-32)</f>
        <v>4.8087</v>
      </c>
      <c r="F22" s="1">
        <f>IFERROR(VLOOKUP(C22,'PBI Open Positions'!A:J,5,0),VLOOKUP(C22,'Stock Selection'!C:H,6,0))</f>
        <v>16.64</v>
      </c>
      <c r="G22" s="1">
        <f t="shared" si="0"/>
        <v>80.016767999999999</v>
      </c>
      <c r="H22" s="13">
        <v>0.1857</v>
      </c>
      <c r="I22" s="11">
        <v>0.34599999999999997</v>
      </c>
      <c r="J22" s="9">
        <f t="shared" si="1"/>
        <v>0.53670520231213881</v>
      </c>
      <c r="K22" s="9">
        <f t="shared" si="2"/>
        <v>0.13954052766043268</v>
      </c>
      <c r="L22" s="9">
        <f t="shared" si="3"/>
        <v>27.685801727999998</v>
      </c>
      <c r="M22" s="12">
        <f t="shared" si="14"/>
        <v>19.730048</v>
      </c>
      <c r="N22" s="12">
        <f t="shared" si="4"/>
        <v>94.875881817600003</v>
      </c>
      <c r="O22" s="12">
        <f>IFERROR(VLOOKUP(C22,'PBI Open Positions'!A:F,6,0),VLOOKUP(Positions!C22,'Stock Selection'!C:H,6,0))</f>
        <v>18.25</v>
      </c>
      <c r="P22" s="12">
        <f t="shared" si="5"/>
        <v>87.758775</v>
      </c>
      <c r="Q22" s="12">
        <f t="shared" si="6"/>
        <v>7.742007000000001</v>
      </c>
      <c r="R22" s="12">
        <f t="shared" si="7"/>
        <v>14.341118676204429</v>
      </c>
      <c r="S22" s="12">
        <f t="shared" si="8"/>
        <v>3.0900479999999995</v>
      </c>
      <c r="T22" s="12">
        <f t="shared" si="9"/>
        <v>-1.1494406618977857</v>
      </c>
      <c r="U22" s="15">
        <f t="shared" si="10"/>
        <v>1.9406073381022138</v>
      </c>
      <c r="V22" s="12">
        <f t="shared" si="13"/>
        <v>27.589328199435297</v>
      </c>
      <c r="W22" s="9">
        <f t="shared" si="11"/>
        <v>0</v>
      </c>
      <c r="X22" s="9">
        <f t="shared" si="12"/>
        <v>0.15976618918638411</v>
      </c>
    </row>
    <row r="23" spans="1:24" x14ac:dyDescent="0.25">
      <c r="A23" t="s">
        <v>171</v>
      </c>
      <c r="B23" s="4" t="s">
        <v>7</v>
      </c>
      <c r="C23" t="s">
        <v>25</v>
      </c>
      <c r="D23" s="8">
        <f ca="1">IF(ISERROR(VLOOKUP(C23,[1]Sheet1!$C:$C,1,0)),TODAY(),_xlfn.MINIFS([1]Sheet1!$F:$F,[1]Sheet1!$C:$C,C23))</f>
        <v>45751.745008715283</v>
      </c>
      <c r="E23" s="2">
        <f>IFERROR(VLOOKUP(C23,'PBI Open Positions'!A:J,4,0),1E-32)</f>
        <v>6.2399999999999997E-2</v>
      </c>
      <c r="F23" s="1">
        <f>IFERROR(VLOOKUP(C23,'PBI Open Positions'!A:J,5,0),VLOOKUP(C23,'Stock Selection'!C:H,6,0))</f>
        <v>339.74</v>
      </c>
      <c r="G23" s="1">
        <f t="shared" si="0"/>
        <v>21.199776</v>
      </c>
      <c r="H23" s="13">
        <v>0.1177</v>
      </c>
      <c r="I23" s="11">
        <v>0.18329999999999999</v>
      </c>
      <c r="J23" s="9">
        <f t="shared" si="1"/>
        <v>0.64211674849972722</v>
      </c>
      <c r="K23" s="9">
        <f t="shared" si="2"/>
        <v>0.16694697483692855</v>
      </c>
      <c r="L23" s="9">
        <f t="shared" si="3"/>
        <v>3.8859189407999999</v>
      </c>
      <c r="M23" s="12">
        <f t="shared" si="14"/>
        <v>379.72739799999999</v>
      </c>
      <c r="N23" s="12">
        <f t="shared" si="4"/>
        <v>23.694989635199999</v>
      </c>
      <c r="O23" s="12">
        <f>IFERROR(VLOOKUP(C23,'PBI Open Positions'!A:F,6,0),VLOOKUP(Positions!C23,'Stock Selection'!C:H,6,0))</f>
        <v>351.6</v>
      </c>
      <c r="P23" s="12">
        <f t="shared" si="5"/>
        <v>21.93984</v>
      </c>
      <c r="Q23" s="12">
        <f t="shared" si="6"/>
        <v>0.74006400000000028</v>
      </c>
      <c r="R23" s="12">
        <f t="shared" si="7"/>
        <v>318.82507507507506</v>
      </c>
      <c r="S23" s="12">
        <f t="shared" si="8"/>
        <v>39.987397999999985</v>
      </c>
      <c r="T23" s="12">
        <f t="shared" si="9"/>
        <v>-10.457462462462473</v>
      </c>
      <c r="U23" s="15">
        <f t="shared" si="10"/>
        <v>29.529935537537511</v>
      </c>
      <c r="V23" s="12">
        <f t="shared" si="13"/>
        <v>0</v>
      </c>
      <c r="W23" s="9">
        <f t="shared" si="11"/>
        <v>0</v>
      </c>
      <c r="X23" s="9">
        <f t="shared" si="12"/>
        <v>0</v>
      </c>
    </row>
    <row r="24" spans="1:24" hidden="1" x14ac:dyDescent="0.25">
      <c r="A24" t="s">
        <v>170</v>
      </c>
      <c r="B24" s="6" t="s">
        <v>42</v>
      </c>
      <c r="C24" t="s">
        <v>41</v>
      </c>
      <c r="D24" s="8">
        <f ca="1">IF(ISERROR(VLOOKUP(C24,[1]Sheet1!$C:$C,1,0)),TODAY(),_xlfn.MINIFS([1]Sheet1!$F:$F,[1]Sheet1!$C:$C,C24))</f>
        <v>45796.824765613434</v>
      </c>
      <c r="E24" s="2">
        <f>IFERROR(VLOOKUP(C24,'PBI Open Positions'!A:J,4,0),1E-32)</f>
        <v>0.1091</v>
      </c>
      <c r="F24" s="1">
        <f>IFERROR(VLOOKUP(C24,'PBI Open Positions'!A:J,5,0),VLOOKUP(C24,'Stock Selection'!C:H,6,0))</f>
        <v>33.64</v>
      </c>
      <c r="G24" s="1">
        <f t="shared" si="0"/>
        <v>3.6701239999999999</v>
      </c>
      <c r="H24" s="13">
        <v>7.0000000000000007E-2</v>
      </c>
      <c r="I24" s="11">
        <v>0.4</v>
      </c>
      <c r="J24" s="9">
        <f t="shared" si="1"/>
        <v>0.17500000000000002</v>
      </c>
      <c r="K24" s="9">
        <f t="shared" si="2"/>
        <v>4.5499078889817982E-2</v>
      </c>
      <c r="L24" s="9">
        <f t="shared" si="3"/>
        <v>1.4680496000000001</v>
      </c>
      <c r="M24" s="12">
        <f t="shared" si="14"/>
        <v>35.994800000000005</v>
      </c>
      <c r="N24" s="12">
        <f t="shared" si="4"/>
        <v>3.9270326800000008</v>
      </c>
      <c r="O24" s="12">
        <f>IFERROR(VLOOKUP(C24,'PBI Open Positions'!A:F,6,0),VLOOKUP(Positions!C24,'Stock Selection'!C:H,6,0))</f>
        <v>38.5</v>
      </c>
      <c r="P24" s="12">
        <f t="shared" si="5"/>
        <v>4.2003500000000003</v>
      </c>
      <c r="Q24" s="12">
        <f t="shared" si="6"/>
        <v>0.53022600000000031</v>
      </c>
      <c r="R24" s="12">
        <f t="shared" si="7"/>
        <v>25.29323308270677</v>
      </c>
      <c r="S24" s="12">
        <f t="shared" si="8"/>
        <v>2.3548000000000044</v>
      </c>
      <c r="T24" s="12">
        <f t="shared" si="9"/>
        <v>-4.1733834586466152</v>
      </c>
      <c r="U24" s="15">
        <f t="shared" si="10"/>
        <v>-1.8185834586466108</v>
      </c>
      <c r="V24" s="12">
        <f t="shared" si="13"/>
        <v>31.348518996184122</v>
      </c>
      <c r="W24" s="9">
        <f t="shared" si="11"/>
        <v>0</v>
      </c>
      <c r="X24" s="9">
        <f t="shared" si="12"/>
        <v>0.1815351711521494</v>
      </c>
    </row>
    <row r="25" spans="1:24" hidden="1" x14ac:dyDescent="0.25">
      <c r="A25" t="s">
        <v>175</v>
      </c>
      <c r="B25" s="6" t="s">
        <v>58</v>
      </c>
      <c r="C25" t="s">
        <v>59</v>
      </c>
      <c r="D25" s="8">
        <f ca="1">IF(ISERROR(VLOOKUP(C25,[1]Sheet1!$C:$C,1,0)),TODAY(),_xlfn.MINIFS([1]Sheet1!$F:$F,[1]Sheet1!$C:$C,C25))</f>
        <v>45645.900768032407</v>
      </c>
      <c r="E25" s="2">
        <f>IFERROR(VLOOKUP(C25,'PBI Open Positions'!A:J,4,0),1E-32)</f>
        <v>0.2482</v>
      </c>
      <c r="F25" s="1">
        <f>IFERROR(VLOOKUP(C25,'PBI Open Positions'!A:J,5,0),VLOOKUP(C25,'Stock Selection'!C:H,6,0))</f>
        <v>141.13999999999999</v>
      </c>
      <c r="G25" s="1">
        <f t="shared" si="0"/>
        <v>35.030947999999995</v>
      </c>
      <c r="H25" s="13">
        <v>7.0000000000000007E-2</v>
      </c>
      <c r="I25" s="11">
        <v>0.1623</v>
      </c>
      <c r="J25" s="9">
        <f t="shared" si="1"/>
        <v>0.43130006161429457</v>
      </c>
      <c r="K25" s="9">
        <f t="shared" si="2"/>
        <v>0.11213574587755509</v>
      </c>
      <c r="L25" s="9">
        <f t="shared" si="3"/>
        <v>5.685522860399999</v>
      </c>
      <c r="M25" s="12">
        <f t="shared" si="14"/>
        <v>151.0198</v>
      </c>
      <c r="N25" s="12">
        <f t="shared" si="4"/>
        <v>37.483114360000002</v>
      </c>
      <c r="O25" s="12">
        <f>IFERROR(VLOOKUP(C25,'PBI Open Positions'!A:F,6,0),VLOOKUP(Positions!C25,'Stock Selection'!C:H,6,0))</f>
        <v>142.63</v>
      </c>
      <c r="P25" s="12">
        <f t="shared" si="5"/>
        <v>35.400765999999997</v>
      </c>
      <c r="Q25" s="12">
        <f t="shared" si="6"/>
        <v>0.3698180000000022</v>
      </c>
      <c r="R25" s="12">
        <f t="shared" si="7"/>
        <v>129.21358601116907</v>
      </c>
      <c r="S25" s="12">
        <f t="shared" si="8"/>
        <v>9.8798000000000172</v>
      </c>
      <c r="T25" s="12">
        <f t="shared" si="9"/>
        <v>-5.963206994415458</v>
      </c>
      <c r="U25" s="15">
        <f t="shared" si="10"/>
        <v>3.9165930055845593</v>
      </c>
      <c r="V25" s="12">
        <f t="shared" si="13"/>
        <v>25.613342531952952</v>
      </c>
      <c r="W25" s="9">
        <f t="shared" si="11"/>
        <v>0</v>
      </c>
      <c r="X25" s="9">
        <f t="shared" si="12"/>
        <v>0.14832351476899727</v>
      </c>
    </row>
    <row r="26" spans="1:24" hidden="1" x14ac:dyDescent="0.25">
      <c r="A26" t="s">
        <v>169</v>
      </c>
      <c r="B26" s="3" t="s">
        <v>14</v>
      </c>
      <c r="C26" t="s">
        <v>13</v>
      </c>
      <c r="D26" s="8">
        <f ca="1">IF(ISERROR(VLOOKUP(C26,[1]Sheet1!$C:$C,1,0)),TODAY(),_xlfn.MINIFS([1]Sheet1!$F:$F,[1]Sheet1!$C:$C,C26))</f>
        <v>45582.739968923612</v>
      </c>
      <c r="E26" s="2">
        <f>IFERROR(VLOOKUP(C26,'PBI Open Positions'!A:J,4,0),1E-32)</f>
        <v>1E-4</v>
      </c>
      <c r="F26" s="1">
        <f>IFERROR(VLOOKUP(C26,'PBI Open Positions'!A:J,5,0),VLOOKUP(C26,'Stock Selection'!C:H,6,0))</f>
        <v>200</v>
      </c>
      <c r="G26" s="1">
        <f t="shared" si="0"/>
        <v>0.02</v>
      </c>
      <c r="H26" s="13">
        <v>0.15</v>
      </c>
      <c r="I26" s="11">
        <v>0.2271</v>
      </c>
      <c r="J26" s="9">
        <f t="shared" si="1"/>
        <v>0.66050198150594452</v>
      </c>
      <c r="K26" s="9">
        <f t="shared" si="2"/>
        <v>0.17172703864811464</v>
      </c>
      <c r="L26" s="9">
        <f t="shared" si="3"/>
        <v>4.542E-3</v>
      </c>
      <c r="M26" s="12">
        <f t="shared" si="14"/>
        <v>229.99999999999997</v>
      </c>
      <c r="N26" s="12">
        <f t="shared" si="4"/>
        <v>2.3E-2</v>
      </c>
      <c r="O26" s="12">
        <f>IFERROR(VLOOKUP(C26,'PBI Open Positions'!A:F,6,0),VLOOKUP(Positions!C26,'Stock Selection'!C:H,6,0))</f>
        <v>200</v>
      </c>
      <c r="P26" s="12">
        <f t="shared" si="5"/>
        <v>0.02</v>
      </c>
      <c r="Q26" s="12">
        <f t="shared" si="6"/>
        <v>0</v>
      </c>
      <c r="R26" s="12">
        <f t="shared" si="7"/>
        <v>185.68378052177138</v>
      </c>
      <c r="S26" s="12">
        <f t="shared" si="8"/>
        <v>29.999999999999972</v>
      </c>
      <c r="T26" s="12">
        <f t="shared" si="9"/>
        <v>-7.1581097391143089</v>
      </c>
      <c r="U26" s="15">
        <f t="shared" si="10"/>
        <v>22.841890260885663</v>
      </c>
      <c r="V26" s="12">
        <f t="shared" si="13"/>
        <v>6.6880452766518488</v>
      </c>
      <c r="W26" s="9">
        <f t="shared" si="11"/>
        <v>0</v>
      </c>
      <c r="X26" s="9">
        <f t="shared" si="12"/>
        <v>3.8729594980806116E-2</v>
      </c>
    </row>
    <row r="27" spans="1:24" hidden="1" x14ac:dyDescent="0.25">
      <c r="A27" t="s">
        <v>178</v>
      </c>
      <c r="B27" s="7" t="s">
        <v>88</v>
      </c>
      <c r="C27" s="32" t="s">
        <v>89</v>
      </c>
      <c r="D27" s="8">
        <f ca="1">IF(ISERROR(VLOOKUP(C27,[1]Sheet1!$C:$C,1,0)),TODAY(),_xlfn.MINIFS([1]Sheet1!$F:$F,[1]Sheet1!$C:$C,C27))</f>
        <v>45708.680226342593</v>
      </c>
      <c r="E27" s="2">
        <f>IFERROR(VLOOKUP(C27,'PBI Open Positions'!A:J,4,0),1E-32)</f>
        <v>0.69510000000000005</v>
      </c>
      <c r="F27" s="1">
        <f>IFERROR(VLOOKUP(C27,'PBI Open Positions'!A:J,5,0),VLOOKUP(C27,'Stock Selection'!C:H,6,0))</f>
        <v>43.16</v>
      </c>
      <c r="G27" s="1">
        <f t="shared" si="0"/>
        <v>30.000516000000001</v>
      </c>
      <c r="H27" s="13">
        <v>0.05</v>
      </c>
      <c r="I27" s="11">
        <v>0.2029</v>
      </c>
      <c r="J27" s="9">
        <f t="shared" si="1"/>
        <v>0.24642681123706262</v>
      </c>
      <c r="K27" s="9">
        <f t="shared" si="2"/>
        <v>6.4069673857379397E-2</v>
      </c>
      <c r="L27" s="9">
        <f t="shared" si="3"/>
        <v>6.0871046964</v>
      </c>
      <c r="M27" s="12">
        <f t="shared" si="14"/>
        <v>45.317999999999998</v>
      </c>
      <c r="N27" s="12">
        <f t="shared" si="4"/>
        <v>31.500541800000001</v>
      </c>
      <c r="O27" s="12">
        <f>IFERROR(VLOOKUP(C27,'PBI Open Positions'!A:F,6,0),VLOOKUP(Positions!C27,'Stock Selection'!C:H,6,0))</f>
        <v>43.09</v>
      </c>
      <c r="P27" s="12">
        <f t="shared" si="5"/>
        <v>29.951859000000006</v>
      </c>
      <c r="Q27" s="12">
        <f t="shared" si="6"/>
        <v>-4.8656999999995065E-2</v>
      </c>
      <c r="R27" s="12">
        <f t="shared" si="7"/>
        <v>37.436030878653824</v>
      </c>
      <c r="S27" s="12">
        <f t="shared" si="8"/>
        <v>2.1580000000000013</v>
      </c>
      <c r="T27" s="12">
        <f t="shared" si="9"/>
        <v>-2.8619845606730863</v>
      </c>
      <c r="U27" s="15">
        <f t="shared" si="10"/>
        <v>-0.70398456067308501</v>
      </c>
      <c r="V27" s="12">
        <f t="shared" si="13"/>
        <v>30.233920098210596</v>
      </c>
      <c r="W27" s="9">
        <f t="shared" si="11"/>
        <v>0</v>
      </c>
      <c r="X27" s="9">
        <f t="shared" si="12"/>
        <v>0.17508067479350961</v>
      </c>
    </row>
    <row r="28" spans="1:24" hidden="1" x14ac:dyDescent="0.25">
      <c r="A28" t="s">
        <v>176</v>
      </c>
      <c r="B28" s="7" t="s">
        <v>77</v>
      </c>
      <c r="C28" s="14" t="s">
        <v>78</v>
      </c>
      <c r="D28" s="8">
        <f ca="1">IF(ISERROR(VLOOKUP(C28,[1]Sheet1!$C:$C,1,0)),TODAY(),_xlfn.MINIFS([1]Sheet1!$F:$F,[1]Sheet1!$C:$C,C28))</f>
        <v>45833</v>
      </c>
      <c r="E28" s="2">
        <f>IFERROR(VLOOKUP(C28,'PBI Open Positions'!A:J,4,0),1E-32)</f>
        <v>1.0000000000000001E-32</v>
      </c>
      <c r="F28" s="1">
        <f>IFERROR(VLOOKUP(C28,'PBI Open Positions'!A:J,5,0),VLOOKUP(C28,'Stock Selection'!C:H,6,0))</f>
        <v>3340.3</v>
      </c>
      <c r="G28" s="1">
        <f t="shared" si="0"/>
        <v>3.3403000000000004E-29</v>
      </c>
      <c r="H28" s="13">
        <v>0.1</v>
      </c>
      <c r="I28" s="11">
        <v>0.5</v>
      </c>
      <c r="J28" s="9">
        <f t="shared" si="1"/>
        <v>0.2</v>
      </c>
      <c r="K28" s="9">
        <f t="shared" si="2"/>
        <v>5.1998947302649118E-2</v>
      </c>
      <c r="L28" s="9">
        <f t="shared" si="3"/>
        <v>1.6701500000000002E-29</v>
      </c>
      <c r="M28" s="12">
        <f t="shared" si="14"/>
        <v>3674.3300000000004</v>
      </c>
      <c r="N28" s="12">
        <f t="shared" si="4"/>
        <v>3.6743300000000006E-29</v>
      </c>
      <c r="O28" s="12">
        <f>IFERROR(VLOOKUP(C28,'PBI Open Positions'!A:F,6,0),VLOOKUP(Positions!C28,'Stock Selection'!C:H,6,0))</f>
        <v>3340.3</v>
      </c>
      <c r="P28" s="12">
        <f t="shared" si="5"/>
        <v>3.3403000000000004E-29</v>
      </c>
      <c r="Q28" s="12">
        <f t="shared" si="6"/>
        <v>0</v>
      </c>
      <c r="R28" s="12">
        <f t="shared" si="7"/>
        <v>2385.9285714285716</v>
      </c>
      <c r="S28" s="12">
        <f t="shared" si="8"/>
        <v>334.0300000000002</v>
      </c>
      <c r="T28" s="12">
        <f t="shared" si="9"/>
        <v>-477.18571428571431</v>
      </c>
      <c r="U28" s="15">
        <f t="shared" si="10"/>
        <v>-143.15571428571411</v>
      </c>
      <c r="V28" s="12">
        <f t="shared" si="13"/>
        <v>172.68564982325162</v>
      </c>
      <c r="W28" s="9">
        <f t="shared" si="11"/>
        <v>0</v>
      </c>
      <c r="X28" s="9">
        <f t="shared" si="12"/>
        <v>1</v>
      </c>
    </row>
    <row r="29" spans="1:24" hidden="1" x14ac:dyDescent="0.25">
      <c r="A29" t="s">
        <v>169</v>
      </c>
      <c r="B29" s="3" t="s">
        <v>60</v>
      </c>
      <c r="C29" t="s">
        <v>60</v>
      </c>
      <c r="D29" s="8">
        <f ca="1">IF(ISERROR(VLOOKUP(C29,[1]Sheet1!$C:$C,1,0)),TODAY(),_xlfn.MINIFS([1]Sheet1!$F:$F,[1]Sheet1!$C:$C,C29))</f>
        <v>45833</v>
      </c>
      <c r="E29" s="2">
        <f>IFERROR(VLOOKUP(C29,'PBI Open Positions'!A:J,4,0),1E-32)</f>
        <v>1.0000000000000001E-32</v>
      </c>
      <c r="F29" s="1">
        <f>IFERROR(VLOOKUP(C29,'PBI Open Positions'!A:J,5,0),VLOOKUP(C29,'Stock Selection'!C:H,6,0))</f>
        <v>813.36</v>
      </c>
      <c r="G29" s="1">
        <f t="shared" si="0"/>
        <v>8.1336000000000005E-30</v>
      </c>
      <c r="H29" s="13">
        <v>0.1</v>
      </c>
      <c r="I29" s="11">
        <v>0.45340000000000003</v>
      </c>
      <c r="J29" s="9">
        <f t="shared" si="1"/>
        <v>0.22055580061755625</v>
      </c>
      <c r="K29" s="9">
        <f t="shared" si="2"/>
        <v>5.7343347268029463E-2</v>
      </c>
      <c r="L29" s="9">
        <f t="shared" si="3"/>
        <v>3.6877742400000002E-30</v>
      </c>
      <c r="M29" s="12">
        <f t="shared" si="14"/>
        <v>894.69600000000014</v>
      </c>
      <c r="N29" s="12">
        <f t="shared" si="4"/>
        <v>8.9469600000000022E-30</v>
      </c>
      <c r="O29" s="12">
        <f>IFERROR(VLOOKUP(C29,'PBI Open Positions'!A:F,6,0),VLOOKUP(Positions!C29,'Stock Selection'!C:H,6,0))</f>
        <v>813.36</v>
      </c>
      <c r="P29" s="12">
        <f t="shared" si="5"/>
        <v>8.1336000000000005E-30</v>
      </c>
      <c r="Q29" s="12">
        <f t="shared" si="6"/>
        <v>0</v>
      </c>
      <c r="R29" s="12">
        <f t="shared" si="7"/>
        <v>600.97532141273837</v>
      </c>
      <c r="S29" s="12">
        <f t="shared" si="8"/>
        <v>81.336000000000126</v>
      </c>
      <c r="T29" s="12">
        <f t="shared" si="9"/>
        <v>-106.19233929363082</v>
      </c>
      <c r="U29" s="15">
        <f t="shared" si="10"/>
        <v>-24.856339293630697</v>
      </c>
      <c r="V29" s="12">
        <f t="shared" si="13"/>
        <v>54.386274831168208</v>
      </c>
      <c r="W29" s="9">
        <f t="shared" si="11"/>
        <v>0</v>
      </c>
      <c r="X29" s="9">
        <f t="shared" si="12"/>
        <v>0.31494380040746878</v>
      </c>
    </row>
    <row r="30" spans="1:24" hidden="1" x14ac:dyDescent="0.25">
      <c r="A30" t="s">
        <v>175</v>
      </c>
      <c r="B30" s="6" t="s">
        <v>33</v>
      </c>
      <c r="C30" t="s">
        <v>34</v>
      </c>
      <c r="D30" s="8">
        <f ca="1">IF(ISERROR(VLOOKUP(C30,[1]Sheet1!$C:$C,1,0)),TODAY(),_xlfn.MINIFS([1]Sheet1!$F:$F,[1]Sheet1!$C:$C,C30))</f>
        <v>45833</v>
      </c>
      <c r="E30" s="2">
        <f>IFERROR(VLOOKUP(C30,'PBI Open Positions'!A:J,4,0),1E-32)</f>
        <v>1.0000000000000001E-32</v>
      </c>
      <c r="F30" s="1">
        <f>IFERROR(VLOOKUP(C30,'PBI Open Positions'!A:J,5,0),VLOOKUP(C30,'Stock Selection'!C:H,6,0))</f>
        <v>453.55</v>
      </c>
      <c r="G30" s="1">
        <f t="shared" si="0"/>
        <v>4.5355000000000007E-30</v>
      </c>
      <c r="H30" s="13">
        <v>0.05</v>
      </c>
      <c r="I30" s="11">
        <v>0.28000000000000003</v>
      </c>
      <c r="J30" s="9">
        <f t="shared" si="1"/>
        <v>0.17857142857142858</v>
      </c>
      <c r="K30" s="9">
        <f t="shared" si="2"/>
        <v>4.6427631520222425E-2</v>
      </c>
      <c r="L30" s="9">
        <f t="shared" si="3"/>
        <v>1.2699400000000004E-30</v>
      </c>
      <c r="M30" s="12">
        <f t="shared" si="14"/>
        <v>476.22750000000002</v>
      </c>
      <c r="N30" s="12">
        <f t="shared" si="4"/>
        <v>4.7622750000000006E-30</v>
      </c>
      <c r="O30" s="12">
        <f>IFERROR(VLOOKUP(C30,'PBI Open Positions'!A:F,6,0),VLOOKUP(Positions!C30,'Stock Selection'!C:H,6,0))</f>
        <v>453.55</v>
      </c>
      <c r="P30" s="12">
        <f t="shared" si="5"/>
        <v>4.5355000000000007E-30</v>
      </c>
      <c r="Q30" s="12">
        <f t="shared" si="6"/>
        <v>0</v>
      </c>
      <c r="R30" s="12">
        <f t="shared" si="7"/>
        <v>368.73983739837399</v>
      </c>
      <c r="S30" s="12">
        <f t="shared" si="8"/>
        <v>22.677500000000009</v>
      </c>
      <c r="T30" s="12">
        <f t="shared" si="9"/>
        <v>-42.405081300813009</v>
      </c>
      <c r="U30" s="15">
        <f t="shared" si="10"/>
        <v>-19.727581300813</v>
      </c>
      <c r="V30" s="12">
        <f t="shared" si="13"/>
        <v>49.257516838350512</v>
      </c>
      <c r="W30" s="9">
        <f t="shared" si="11"/>
        <v>0</v>
      </c>
      <c r="X30" s="9">
        <f t="shared" si="12"/>
        <v>0.2852438340346572</v>
      </c>
    </row>
    <row r="31" spans="1:24" hidden="1" x14ac:dyDescent="0.25">
      <c r="A31" t="s">
        <v>174</v>
      </c>
      <c r="B31" s="7" t="s">
        <v>100</v>
      </c>
      <c r="C31" s="32" t="s">
        <v>97</v>
      </c>
      <c r="D31" s="8">
        <f ca="1">IF(ISERROR(VLOOKUP(C31,[1]Sheet1!$C:$C,1,0)),TODAY(),_xlfn.MINIFS([1]Sheet1!$F:$F,[1]Sheet1!$C:$C,C31))</f>
        <v>45833</v>
      </c>
      <c r="E31" s="2">
        <f>IFERROR(VLOOKUP(C31,'PBI Open Positions'!A:J,4,0),1E-32)</f>
        <v>1.0000000000000001E-32</v>
      </c>
      <c r="F31" s="1">
        <f>IFERROR(VLOOKUP(C31,'PBI Open Positions'!A:J,5,0),VLOOKUP(C31,'Stock Selection'!C:H,6,0))</f>
        <v>379.02</v>
      </c>
      <c r="G31" s="1">
        <f t="shared" si="0"/>
        <v>3.7901999999999999E-30</v>
      </c>
      <c r="H31" s="13">
        <v>0.2</v>
      </c>
      <c r="I31" s="11">
        <v>0.2</v>
      </c>
      <c r="J31" s="9">
        <f t="shared" si="1"/>
        <v>1</v>
      </c>
      <c r="K31" s="9">
        <f t="shared" si="2"/>
        <v>0.25999473651324556</v>
      </c>
      <c r="L31" s="9">
        <f t="shared" si="3"/>
        <v>7.5804000000000003E-31</v>
      </c>
      <c r="M31" s="12">
        <f t="shared" si="14"/>
        <v>454.82399999999996</v>
      </c>
      <c r="N31" s="12">
        <f t="shared" si="4"/>
        <v>4.54824E-30</v>
      </c>
      <c r="O31" s="12">
        <f>IFERROR(VLOOKUP(C31,'PBI Open Positions'!A:F,6,0),VLOOKUP(Positions!C31,'Stock Selection'!C:H,6,0))</f>
        <v>379.02</v>
      </c>
      <c r="P31" s="12">
        <f t="shared" si="5"/>
        <v>3.7901999999999999E-30</v>
      </c>
      <c r="Q31" s="12">
        <f t="shared" si="6"/>
        <v>0</v>
      </c>
      <c r="R31" s="12">
        <f t="shared" si="7"/>
        <v>379.02</v>
      </c>
      <c r="S31" s="12">
        <f t="shared" si="8"/>
        <v>75.803999999999974</v>
      </c>
      <c r="T31" s="12">
        <f t="shared" si="9"/>
        <v>0</v>
      </c>
      <c r="U31" s="15">
        <f t="shared" si="10"/>
        <v>75.803999999999974</v>
      </c>
      <c r="V31" s="12">
        <f t="shared" si="13"/>
        <v>-46.274064462462462</v>
      </c>
      <c r="W31" s="9">
        <f t="shared" si="11"/>
        <v>0</v>
      </c>
      <c r="X31" s="9">
        <f t="shared" si="12"/>
        <v>-0.2679670517488002</v>
      </c>
    </row>
    <row r="32" spans="1:24" hidden="1" x14ac:dyDescent="0.25">
      <c r="A32" t="s">
        <v>169</v>
      </c>
      <c r="B32" s="3" t="s">
        <v>10</v>
      </c>
      <c r="C32" t="s">
        <v>9</v>
      </c>
      <c r="D32" s="8">
        <f ca="1">IF(ISERROR(VLOOKUP(C32,[1]Sheet1!$C:$C,1,0)),TODAY(),_xlfn.MINIFS([1]Sheet1!$F:$F,[1]Sheet1!$C:$C,C32))</f>
        <v>45833</v>
      </c>
      <c r="E32" s="2">
        <f>IFERROR(VLOOKUP(C32,'PBI Open Positions'!A:J,4,0),1E-32)</f>
        <v>1.0000000000000001E-32</v>
      </c>
      <c r="F32" s="1">
        <f>IFERROR(VLOOKUP(C32,'PBI Open Positions'!A:J,5,0),VLOOKUP(C32,'Stock Selection'!C:H,6,0))</f>
        <v>155.71</v>
      </c>
      <c r="G32" s="1">
        <f t="shared" si="0"/>
        <v>1.5571000000000001E-30</v>
      </c>
      <c r="H32" s="13">
        <v>0.15</v>
      </c>
      <c r="I32" s="11">
        <v>0.37780000000000002</v>
      </c>
      <c r="J32" s="9">
        <f t="shared" si="1"/>
        <v>0.39703546850185278</v>
      </c>
      <c r="K32" s="9">
        <f t="shared" si="2"/>
        <v>0.10322713201955222</v>
      </c>
      <c r="L32" s="9">
        <f t="shared" si="3"/>
        <v>5.8827238000000006E-31</v>
      </c>
      <c r="M32" s="12">
        <f t="shared" si="14"/>
        <v>179.06649999999999</v>
      </c>
      <c r="N32" s="12">
        <f t="shared" si="4"/>
        <v>1.7906649999999999E-30</v>
      </c>
      <c r="O32" s="12">
        <f>IFERROR(VLOOKUP(C32,'PBI Open Positions'!A:F,6,0),VLOOKUP(Positions!C32,'Stock Selection'!C:H,6,0))</f>
        <v>155.71</v>
      </c>
      <c r="P32" s="12">
        <f t="shared" si="5"/>
        <v>1.5571000000000001E-30</v>
      </c>
      <c r="Q32" s="12">
        <f t="shared" si="6"/>
        <v>0</v>
      </c>
      <c r="R32" s="12">
        <f t="shared" si="7"/>
        <v>126.82032904381819</v>
      </c>
      <c r="S32" s="12">
        <f t="shared" si="8"/>
        <v>23.356499999999983</v>
      </c>
      <c r="T32" s="12">
        <f t="shared" si="9"/>
        <v>-14.444835478090909</v>
      </c>
      <c r="U32" s="15">
        <f t="shared" si="10"/>
        <v>8.9116645219090742</v>
      </c>
      <c r="V32" s="12">
        <f t="shared" si="13"/>
        <v>20.618271015628437</v>
      </c>
      <c r="W32" s="9">
        <f t="shared" si="11"/>
        <v>0</v>
      </c>
      <c r="X32" s="9">
        <f t="shared" si="12"/>
        <v>0.11939770928697195</v>
      </c>
    </row>
    <row r="33" spans="1:24" hidden="1" x14ac:dyDescent="0.25">
      <c r="A33" t="s">
        <v>169</v>
      </c>
      <c r="B33" s="3" t="s">
        <v>29</v>
      </c>
      <c r="C33" t="s">
        <v>30</v>
      </c>
      <c r="D33" s="8">
        <f ca="1">IF(ISERROR(VLOOKUP(C33,[1]Sheet1!$C:$C,1,0)),TODAY(),_xlfn.MINIFS([1]Sheet1!$F:$F,[1]Sheet1!$C:$C,C33))</f>
        <v>45833</v>
      </c>
      <c r="E33" s="2">
        <f>IFERROR(VLOOKUP(C33,'PBI Open Positions'!A:J,4,0),1E-32)</f>
        <v>1.0000000000000001E-32</v>
      </c>
      <c r="F33" s="1">
        <f>IFERROR(VLOOKUP(C33,'PBI Open Positions'!A:J,5,0),VLOOKUP(C33,'Stock Selection'!C:H,6,0))</f>
        <v>180.18</v>
      </c>
      <c r="G33" s="1">
        <f t="shared" si="0"/>
        <v>1.8018000000000003E-30</v>
      </c>
      <c r="H33" s="13">
        <v>0.1</v>
      </c>
      <c r="I33" s="11">
        <v>0.4259</v>
      </c>
      <c r="J33" s="9">
        <f t="shared" si="1"/>
        <v>0.23479690068091102</v>
      </c>
      <c r="K33" s="9">
        <f t="shared" si="2"/>
        <v>6.1045958326660155E-2</v>
      </c>
      <c r="L33" s="9">
        <f t="shared" si="3"/>
        <v>7.6738662000000012E-31</v>
      </c>
      <c r="M33" s="12">
        <f t="shared" si="14"/>
        <v>198.19800000000004</v>
      </c>
      <c r="N33" s="12">
        <f t="shared" si="4"/>
        <v>1.9819800000000004E-30</v>
      </c>
      <c r="O33" s="12">
        <f>IFERROR(VLOOKUP(C33,'PBI Open Positions'!A:F,6,0),VLOOKUP(Positions!C33,'Stock Selection'!C:H,6,0))</f>
        <v>180.18</v>
      </c>
      <c r="P33" s="12">
        <f t="shared" si="5"/>
        <v>1.8018000000000003E-30</v>
      </c>
      <c r="Q33" s="12">
        <f t="shared" si="6"/>
        <v>0</v>
      </c>
      <c r="R33" s="12">
        <f t="shared" si="7"/>
        <v>135.89260125197981</v>
      </c>
      <c r="S33" s="12">
        <f t="shared" si="8"/>
        <v>18.018000000000029</v>
      </c>
      <c r="T33" s="12">
        <f t="shared" si="9"/>
        <v>-22.143699374010097</v>
      </c>
      <c r="U33" s="15">
        <f t="shared" si="10"/>
        <v>-4.1256993740100683</v>
      </c>
      <c r="V33" s="12">
        <f t="shared" si="13"/>
        <v>33.65563491154758</v>
      </c>
      <c r="W33" s="9">
        <f t="shared" si="11"/>
        <v>0</v>
      </c>
      <c r="X33" s="9">
        <f t="shared" si="12"/>
        <v>0.1948953775023867</v>
      </c>
    </row>
    <row r="34" spans="1:24" hidden="1" x14ac:dyDescent="0.25">
      <c r="A34" t="s">
        <v>176</v>
      </c>
      <c r="B34" s="7" t="s">
        <v>76</v>
      </c>
      <c r="C34" t="s">
        <v>201</v>
      </c>
      <c r="D34" s="8">
        <f ca="1">IF(ISERROR(VLOOKUP(C34,[1]Sheet1!$C:$C,1,0)),TODAY(),_xlfn.MINIFS([1]Sheet1!$F:$F,[1]Sheet1!$C:$C,C34))</f>
        <v>45833</v>
      </c>
      <c r="E34" s="2">
        <f>IFERROR(VLOOKUP(C34,'PBI Open Positions'!A:J,4,0),1E-32)</f>
        <v>1.0000000000000001E-32</v>
      </c>
      <c r="F34" s="1">
        <f>IFERROR(VLOOKUP(C34,'PBI Open Positions'!A:J,5,0),VLOOKUP(C34,'Stock Selection'!C:H,6,0))</f>
        <v>144.93</v>
      </c>
      <c r="G34" s="1">
        <f t="shared" si="0"/>
        <v>1.4493000000000001E-30</v>
      </c>
      <c r="H34" s="13">
        <v>7.0000000000000007E-2</v>
      </c>
      <c r="I34" s="11">
        <v>0.19</v>
      </c>
      <c r="J34" s="9">
        <f t="shared" si="1"/>
        <v>0.36842105263157898</v>
      </c>
      <c r="K34" s="9">
        <f t="shared" si="2"/>
        <v>9.5787534504879951E-2</v>
      </c>
      <c r="L34" s="9">
        <f t="shared" si="3"/>
        <v>2.7536700000000001E-31</v>
      </c>
      <c r="M34" s="12">
        <f t="shared" si="14"/>
        <v>155.07510000000002</v>
      </c>
      <c r="N34" s="12">
        <f t="shared" si="4"/>
        <v>1.5507510000000004E-30</v>
      </c>
      <c r="O34" s="12">
        <f>IFERROR(VLOOKUP(C34,'PBI Open Positions'!A:F,6,0),VLOOKUP(Positions!C34,'Stock Selection'!C:H,6,0))</f>
        <v>144.93</v>
      </c>
      <c r="P34" s="12">
        <f t="shared" si="5"/>
        <v>1.4493000000000001E-30</v>
      </c>
      <c r="Q34" s="12">
        <f t="shared" si="6"/>
        <v>0</v>
      </c>
      <c r="R34" s="12">
        <f t="shared" si="7"/>
        <v>129.40178571428572</v>
      </c>
      <c r="S34" s="12">
        <f t="shared" si="8"/>
        <v>10.145100000000014</v>
      </c>
      <c r="T34" s="12">
        <f t="shared" si="9"/>
        <v>-7.7641071428571422</v>
      </c>
      <c r="U34" s="15">
        <f t="shared" si="10"/>
        <v>2.3809928571428713</v>
      </c>
      <c r="V34" s="12">
        <f t="shared" si="13"/>
        <v>27.14894268039464</v>
      </c>
      <c r="W34" s="9">
        <f t="shared" si="11"/>
        <v>0</v>
      </c>
      <c r="X34" s="9">
        <f t="shared" si="12"/>
        <v>0.15721597427569869</v>
      </c>
    </row>
    <row r="35" spans="1:24" hidden="1" x14ac:dyDescent="0.25">
      <c r="A35" t="s">
        <v>169</v>
      </c>
      <c r="B35" s="3" t="s">
        <v>23</v>
      </c>
      <c r="C35" t="s">
        <v>24</v>
      </c>
      <c r="D35" s="8">
        <f ca="1">IF(ISERROR(VLOOKUP(C35,[1]Sheet1!$C:$C,1,0)),TODAY(),_xlfn.MINIFS([1]Sheet1!$F:$F,[1]Sheet1!$C:$C,C35))</f>
        <v>45833</v>
      </c>
      <c r="E35" s="2">
        <f>IFERROR(VLOOKUP(C35,'PBI Open Positions'!A:J,4,0),1E-32)</f>
        <v>1.0000000000000001E-32</v>
      </c>
      <c r="F35" s="1">
        <f>IFERROR(VLOOKUP(C35,'PBI Open Positions'!A:J,5,0),VLOOKUP(C35,'Stock Selection'!C:H,6,0))</f>
        <v>147.9</v>
      </c>
      <c r="G35" s="1">
        <f t="shared" si="0"/>
        <v>1.4790000000000001E-30</v>
      </c>
      <c r="H35" s="13">
        <v>0.15</v>
      </c>
      <c r="I35" s="11">
        <v>0.52380000000000004</v>
      </c>
      <c r="J35" s="9">
        <f t="shared" si="1"/>
        <v>0.28636884306987398</v>
      </c>
      <c r="K35" s="9">
        <f t="shared" si="2"/>
        <v>7.4454391899554856E-2</v>
      </c>
      <c r="L35" s="9">
        <f t="shared" si="3"/>
        <v>7.7470020000000006E-31</v>
      </c>
      <c r="M35" s="12">
        <f t="shared" si="14"/>
        <v>170.08499999999998</v>
      </c>
      <c r="N35" s="12">
        <f t="shared" si="4"/>
        <v>1.7008499999999997E-30</v>
      </c>
      <c r="O35" s="12">
        <f>IFERROR(VLOOKUP(C35,'PBI Open Positions'!A:F,6,0),VLOOKUP(Positions!C35,'Stock Selection'!C:H,6,0))</f>
        <v>147.9</v>
      </c>
      <c r="P35" s="12">
        <f t="shared" si="5"/>
        <v>1.4790000000000001E-30</v>
      </c>
      <c r="Q35" s="12">
        <f t="shared" si="6"/>
        <v>0</v>
      </c>
      <c r="R35" s="12">
        <f t="shared" si="7"/>
        <v>107.65759208036104</v>
      </c>
      <c r="S35" s="12">
        <f t="shared" si="8"/>
        <v>22.184999999999974</v>
      </c>
      <c r="T35" s="12">
        <f t="shared" si="9"/>
        <v>-20.121203959819482</v>
      </c>
      <c r="U35" s="15">
        <f t="shared" si="10"/>
        <v>2.0637960401804918</v>
      </c>
      <c r="V35" s="12">
        <f t="shared" si="13"/>
        <v>27.46613949735702</v>
      </c>
      <c r="W35" s="9">
        <f t="shared" si="11"/>
        <v>0</v>
      </c>
      <c r="X35" s="9">
        <f t="shared" si="12"/>
        <v>0.15905281953346642</v>
      </c>
    </row>
    <row r="36" spans="1:24" hidden="1" x14ac:dyDescent="0.25">
      <c r="A36" t="s">
        <v>85</v>
      </c>
      <c r="B36" t="s">
        <v>86</v>
      </c>
      <c r="C36" s="32" t="s">
        <v>87</v>
      </c>
      <c r="D36" s="8">
        <f ca="1">IF(ISERROR(VLOOKUP(C36,[1]Sheet1!$C:$C,1,0)),TODAY(),_xlfn.MINIFS([1]Sheet1!$F:$F,[1]Sheet1!$C:$C,C36))</f>
        <v>45833</v>
      </c>
      <c r="E36" s="2">
        <f>IFERROR(VLOOKUP(C36,'PBI Open Positions'!A:J,4,0),1E-32)</f>
        <v>1.0000000000000001E-32</v>
      </c>
      <c r="F36" s="1">
        <f>IFERROR(VLOOKUP(C36,'PBI Open Positions'!A:J,5,0),VLOOKUP(C36,'Stock Selection'!C:H,6,0))</f>
        <v>149.87</v>
      </c>
      <c r="G36" s="1">
        <f t="shared" si="0"/>
        <v>1.4987000000000001E-30</v>
      </c>
      <c r="H36" s="13">
        <v>7.0000000000000007E-2</v>
      </c>
      <c r="I36" s="11">
        <v>0.2</v>
      </c>
      <c r="J36" s="9">
        <f t="shared" si="1"/>
        <v>0.35000000000000003</v>
      </c>
      <c r="K36" s="9">
        <f t="shared" si="2"/>
        <v>9.0998157779635963E-2</v>
      </c>
      <c r="L36" s="9">
        <f t="shared" si="3"/>
        <v>2.9974000000000006E-31</v>
      </c>
      <c r="M36" s="12">
        <f t="shared" si="14"/>
        <v>160.36090000000002</v>
      </c>
      <c r="N36" s="12">
        <f t="shared" si="4"/>
        <v>1.6036090000000003E-30</v>
      </c>
      <c r="O36" s="12">
        <f>IFERROR(VLOOKUP(C36,'PBI Open Positions'!A:F,6,0),VLOOKUP(Positions!C36,'Stock Selection'!C:H,6,0))</f>
        <v>149.87</v>
      </c>
      <c r="P36" s="12">
        <f t="shared" si="5"/>
        <v>1.4987000000000001E-30</v>
      </c>
      <c r="Q36" s="12">
        <f t="shared" si="6"/>
        <v>0</v>
      </c>
      <c r="R36" s="12">
        <f t="shared" si="7"/>
        <v>132.62831858407083</v>
      </c>
      <c r="S36" s="12">
        <f t="shared" si="8"/>
        <v>10.490900000000011</v>
      </c>
      <c r="T36" s="12">
        <f t="shared" si="9"/>
        <v>-8.6208407079645895</v>
      </c>
      <c r="U36" s="15">
        <f t="shared" si="10"/>
        <v>1.8700592920354211</v>
      </c>
      <c r="V36" s="12">
        <f t="shared" si="13"/>
        <v>27.65987624550209</v>
      </c>
      <c r="W36" s="9">
        <f t="shared" si="11"/>
        <v>0</v>
      </c>
      <c r="X36" s="9">
        <f t="shared" si="12"/>
        <v>0.16017472368904256</v>
      </c>
    </row>
    <row r="37" spans="1:24" hidden="1" x14ac:dyDescent="0.25">
      <c r="A37" t="s">
        <v>178</v>
      </c>
      <c r="B37" s="7" t="s">
        <v>31</v>
      </c>
      <c r="C37" s="14" t="s">
        <v>32</v>
      </c>
      <c r="D37" s="8">
        <f ca="1">IF(ISERROR(VLOOKUP(C37,[1]Sheet1!$C:$C,1,0)),TODAY(),_xlfn.MINIFS([1]Sheet1!$F:$F,[1]Sheet1!$C:$C,C37))</f>
        <v>45833</v>
      </c>
      <c r="E37" s="2">
        <f>IFERROR(VLOOKUP(C37,'PBI Open Positions'!A:J,4,0),1E-32)</f>
        <v>1.0000000000000001E-32</v>
      </c>
      <c r="F37" s="1">
        <f>IFERROR(VLOOKUP(C37,'PBI Open Positions'!A:J,5,0),VLOOKUP(C37,'Stock Selection'!C:H,6,0))</f>
        <v>116.95</v>
      </c>
      <c r="G37" s="1">
        <f t="shared" si="0"/>
        <v>1.1695000000000001E-30</v>
      </c>
      <c r="H37" s="13">
        <f>121.15/F37-1</f>
        <v>3.5912783240701129E-2</v>
      </c>
      <c r="I37" s="11">
        <v>0.17680000000000001</v>
      </c>
      <c r="J37" s="9">
        <f t="shared" si="1"/>
        <v>0.20312660204016475</v>
      </c>
      <c r="K37" s="9">
        <f t="shared" si="2"/>
        <v>5.2811847376263522E-2</v>
      </c>
      <c r="L37" s="9">
        <f t="shared" si="3"/>
        <v>2.0676760000000003E-31</v>
      </c>
      <c r="M37" s="12">
        <f t="shared" si="14"/>
        <v>121.15</v>
      </c>
      <c r="N37" s="12">
        <f t="shared" si="4"/>
        <v>1.2115000000000001E-30</v>
      </c>
      <c r="O37" s="12">
        <f>IFERROR(VLOOKUP(C37,'PBI Open Positions'!A:F,6,0),VLOOKUP(Positions!C37,'Stock Selection'!C:H,6,0))</f>
        <v>116.95</v>
      </c>
      <c r="P37" s="12">
        <f t="shared" si="5"/>
        <v>1.1695000000000001E-30</v>
      </c>
      <c r="Q37" s="12">
        <f t="shared" si="6"/>
        <v>0</v>
      </c>
      <c r="R37" s="12">
        <f t="shared" si="7"/>
        <v>102.50794143543618</v>
      </c>
      <c r="S37" s="12">
        <f t="shared" si="8"/>
        <v>4.2000000000000028</v>
      </c>
      <c r="T37" s="12">
        <f t="shared" si="9"/>
        <v>-7.2210292822819113</v>
      </c>
      <c r="U37" s="15">
        <f t="shared" si="10"/>
        <v>-3.0210292822819085</v>
      </c>
      <c r="V37" s="12">
        <f t="shared" si="13"/>
        <v>32.55096481981942</v>
      </c>
      <c r="W37" s="9">
        <f t="shared" si="11"/>
        <v>0</v>
      </c>
      <c r="X37" s="9">
        <f t="shared" si="12"/>
        <v>0.18849837756140247</v>
      </c>
    </row>
    <row r="38" spans="1:24" hidden="1" x14ac:dyDescent="0.25">
      <c r="A38" t="s">
        <v>170</v>
      </c>
      <c r="B38" s="5" t="s">
        <v>54</v>
      </c>
      <c r="C38" t="s">
        <v>55</v>
      </c>
      <c r="D38" s="8">
        <f ca="1">IF(ISERROR(VLOOKUP(C38,[1]Sheet1!$C:$C,1,0)),TODAY(),_xlfn.MINIFS([1]Sheet1!$F:$F,[1]Sheet1!$C:$C,C38))</f>
        <v>45833</v>
      </c>
      <c r="E38" s="2">
        <f>IFERROR(VLOOKUP(C38,'PBI Open Positions'!A:J,4,0),1E-32)</f>
        <v>1.0000000000000001E-32</v>
      </c>
      <c r="F38" s="1">
        <f>IFERROR(VLOOKUP(C38,'PBI Open Positions'!A:J,5,0),VLOOKUP(C38,'Stock Selection'!C:H,6,0))</f>
        <v>98</v>
      </c>
      <c r="G38" s="1">
        <f t="shared" si="0"/>
        <v>9.8000000000000005E-31</v>
      </c>
      <c r="H38" s="13">
        <v>7.0000000000000007E-2</v>
      </c>
      <c r="I38" s="11">
        <v>0.17249999999999999</v>
      </c>
      <c r="J38" s="9">
        <f t="shared" si="1"/>
        <v>0.40579710144927544</v>
      </c>
      <c r="K38" s="9">
        <f t="shared" si="2"/>
        <v>0.10550511046914315</v>
      </c>
      <c r="L38" s="9">
        <f t="shared" si="3"/>
        <v>1.6904999999999999E-31</v>
      </c>
      <c r="M38" s="12">
        <f t="shared" si="14"/>
        <v>104.86</v>
      </c>
      <c r="N38" s="12">
        <f t="shared" si="4"/>
        <v>1.0486E-30</v>
      </c>
      <c r="O38" s="12">
        <f>IFERROR(VLOOKUP(C38,'PBI Open Positions'!A:F,6,0),VLOOKUP(Positions!C38,'Stock Selection'!C:H,6,0))</f>
        <v>98</v>
      </c>
      <c r="P38" s="12">
        <f t="shared" si="5"/>
        <v>9.8000000000000005E-31</v>
      </c>
      <c r="Q38" s="12">
        <f t="shared" si="6"/>
        <v>0</v>
      </c>
      <c r="R38" s="12">
        <f t="shared" si="7"/>
        <v>88.8888888888889</v>
      </c>
      <c r="S38" s="12">
        <f t="shared" si="8"/>
        <v>6.8599999999999994</v>
      </c>
      <c r="T38" s="12">
        <f t="shared" si="9"/>
        <v>-4.55555555555555</v>
      </c>
      <c r="U38" s="15">
        <f t="shared" si="10"/>
        <v>2.3044444444444494</v>
      </c>
      <c r="V38" s="12">
        <f t="shared" si="13"/>
        <v>27.225491093093062</v>
      </c>
      <c r="W38" s="9">
        <f t="shared" si="11"/>
        <v>0</v>
      </c>
      <c r="X38" s="9">
        <f t="shared" si="12"/>
        <v>0.15765925611629616</v>
      </c>
    </row>
    <row r="39" spans="1:24" hidden="1" x14ac:dyDescent="0.25">
      <c r="A39" t="s">
        <v>169</v>
      </c>
      <c r="B39" s="3" t="s">
        <v>81</v>
      </c>
      <c r="C39" t="s">
        <v>82</v>
      </c>
      <c r="D39" s="8">
        <f ca="1">IF(ISERROR(VLOOKUP(C39,[1]Sheet1!$C:$C,1,0)),TODAY(),_xlfn.MINIFS([1]Sheet1!$F:$F,[1]Sheet1!$C:$C,C39))</f>
        <v>45833</v>
      </c>
      <c r="E39" s="2">
        <f>IFERROR(VLOOKUP(C39,'PBI Open Positions'!A:J,4,0),1E-32)</f>
        <v>1.0000000000000001E-32</v>
      </c>
      <c r="F39" s="1">
        <f>IFERROR(VLOOKUP(C39,'PBI Open Positions'!A:J,5,0),VLOOKUP(C39,'Stock Selection'!C:H,6,0))</f>
        <v>143.22999999999999</v>
      </c>
      <c r="G39" s="1">
        <f t="shared" si="0"/>
        <v>1.4322999999999999E-30</v>
      </c>
      <c r="H39" s="13">
        <v>0.15</v>
      </c>
      <c r="I39" s="11">
        <v>0.67300000000000004</v>
      </c>
      <c r="J39" s="9">
        <f t="shared" si="1"/>
        <v>0.22288261515601782</v>
      </c>
      <c r="K39" s="9">
        <f t="shared" si="2"/>
        <v>5.7948306800871964E-2</v>
      </c>
      <c r="L39" s="9">
        <f t="shared" si="3"/>
        <v>9.6393789999999998E-31</v>
      </c>
      <c r="M39" s="12">
        <f t="shared" si="14"/>
        <v>164.71449999999999</v>
      </c>
      <c r="N39" s="12">
        <f t="shared" si="4"/>
        <v>1.6471449999999998E-30</v>
      </c>
      <c r="O39" s="12">
        <f>IFERROR(VLOOKUP(C39,'PBI Open Positions'!A:F,6,0),VLOOKUP(Positions!C39,'Stock Selection'!C:H,6,0))</f>
        <v>143.22999999999999</v>
      </c>
      <c r="P39" s="12">
        <f t="shared" si="5"/>
        <v>1.4322999999999999E-30</v>
      </c>
      <c r="Q39" s="12">
        <f t="shared" si="6"/>
        <v>0</v>
      </c>
      <c r="R39" s="12">
        <f t="shared" si="7"/>
        <v>94.044648719632292</v>
      </c>
      <c r="S39" s="12">
        <f t="shared" si="8"/>
        <v>21.484499999999997</v>
      </c>
      <c r="T39" s="12">
        <f t="shared" si="9"/>
        <v>-24.592675640183849</v>
      </c>
      <c r="U39" s="15">
        <f t="shared" si="10"/>
        <v>-3.1081756401838518</v>
      </c>
      <c r="V39" s="12">
        <f t="shared" si="13"/>
        <v>32.638111177721363</v>
      </c>
      <c r="W39" s="9">
        <f t="shared" si="11"/>
        <v>0</v>
      </c>
      <c r="X39" s="9">
        <f t="shared" si="12"/>
        <v>0.18900303071579683</v>
      </c>
    </row>
    <row r="40" spans="1:24" hidden="1" x14ac:dyDescent="0.25">
      <c r="A40" t="s">
        <v>175</v>
      </c>
      <c r="B40" s="5" t="s">
        <v>72</v>
      </c>
      <c r="C40" t="s">
        <v>73</v>
      </c>
      <c r="D40" s="8">
        <f ca="1">IF(ISERROR(VLOOKUP(C40,[1]Sheet1!$C:$C,1,0)),TODAY(),_xlfn.MINIFS([1]Sheet1!$F:$F,[1]Sheet1!$C:$C,C40))</f>
        <v>45833</v>
      </c>
      <c r="E40" s="2">
        <f>IFERROR(VLOOKUP(C40,'PBI Open Positions'!A:J,4,0),1E-32)</f>
        <v>1.0000000000000001E-32</v>
      </c>
      <c r="F40" s="1">
        <f>IFERROR(VLOOKUP(C40,'PBI Open Positions'!A:J,5,0),VLOOKUP(C40,'Stock Selection'!C:H,6,0))</f>
        <v>68.45</v>
      </c>
      <c r="G40" s="1">
        <f t="shared" si="0"/>
        <v>6.8450000000000006E-31</v>
      </c>
      <c r="H40" s="13">
        <v>7.0000000000000007E-2</v>
      </c>
      <c r="I40" s="11">
        <v>0.19</v>
      </c>
      <c r="J40" s="9">
        <f t="shared" si="1"/>
        <v>0.36842105263157898</v>
      </c>
      <c r="K40" s="9">
        <f t="shared" si="2"/>
        <v>9.5787534504879951E-2</v>
      </c>
      <c r="L40" s="9">
        <f t="shared" si="3"/>
        <v>1.3005500000000001E-31</v>
      </c>
      <c r="M40" s="12">
        <f t="shared" si="14"/>
        <v>73.241500000000002</v>
      </c>
      <c r="N40" s="12">
        <f t="shared" si="4"/>
        <v>7.324150000000001E-31</v>
      </c>
      <c r="O40" s="12">
        <f>IFERROR(VLOOKUP(C40,'PBI Open Positions'!A:F,6,0),VLOOKUP(Positions!C40,'Stock Selection'!C:H,6,0))</f>
        <v>68.45</v>
      </c>
      <c r="P40" s="12">
        <f t="shared" si="5"/>
        <v>6.8450000000000006E-31</v>
      </c>
      <c r="Q40" s="12">
        <f t="shared" si="6"/>
        <v>0</v>
      </c>
      <c r="R40" s="12">
        <f t="shared" si="7"/>
        <v>61.116071428571438</v>
      </c>
      <c r="S40" s="12">
        <f t="shared" si="8"/>
        <v>4.7914999999999992</v>
      </c>
      <c r="T40" s="12">
        <f t="shared" si="9"/>
        <v>-3.6669642857142826</v>
      </c>
      <c r="U40" s="15">
        <f t="shared" si="10"/>
        <v>1.1245357142857166</v>
      </c>
      <c r="V40" s="12">
        <f t="shared" si="13"/>
        <v>28.405399823251795</v>
      </c>
      <c r="W40" s="9">
        <f t="shared" si="11"/>
        <v>0</v>
      </c>
      <c r="X40" s="9">
        <f t="shared" si="12"/>
        <v>0.16449195316649345</v>
      </c>
    </row>
    <row r="41" spans="1:24" hidden="1" x14ac:dyDescent="0.25">
      <c r="A41" t="s">
        <v>175</v>
      </c>
      <c r="B41" s="6" t="s">
        <v>57</v>
      </c>
      <c r="C41" t="s">
        <v>56</v>
      </c>
      <c r="D41" s="8">
        <f ca="1">IF(ISERROR(VLOOKUP(C41,[1]Sheet1!$C:$C,1,0)),TODAY(),_xlfn.MINIFS([1]Sheet1!$F:$F,[1]Sheet1!$C:$C,C41))</f>
        <v>45833</v>
      </c>
      <c r="E41" s="2">
        <f>IFERROR(VLOOKUP(C41,'PBI Open Positions'!A:J,4,0),1E-32)</f>
        <v>1.0000000000000001E-32</v>
      </c>
      <c r="F41" s="1">
        <f>IFERROR(VLOOKUP(C41,'PBI Open Positions'!A:J,5,0),VLOOKUP(C41,'Stock Selection'!C:H,6,0))</f>
        <v>44.4</v>
      </c>
      <c r="G41" s="1">
        <f t="shared" si="0"/>
        <v>4.4400000000000004E-31</v>
      </c>
      <c r="H41" s="13">
        <v>7.0000000000000007E-2</v>
      </c>
      <c r="I41" s="11">
        <v>0.4</v>
      </c>
      <c r="J41" s="9">
        <f t="shared" si="1"/>
        <v>0.17500000000000002</v>
      </c>
      <c r="K41" s="9">
        <f t="shared" si="2"/>
        <v>4.5499078889817982E-2</v>
      </c>
      <c r="L41" s="9">
        <f t="shared" si="3"/>
        <v>1.7760000000000002E-31</v>
      </c>
      <c r="M41" s="12">
        <f t="shared" si="14"/>
        <v>47.508000000000003</v>
      </c>
      <c r="N41" s="12">
        <f t="shared" si="4"/>
        <v>4.7508000000000006E-31</v>
      </c>
      <c r="O41" s="12">
        <f>IFERROR(VLOOKUP(C41,'PBI Open Positions'!A:F,6,0),VLOOKUP(Positions!C41,'Stock Selection'!C:H,6,0))</f>
        <v>44.4</v>
      </c>
      <c r="P41" s="12">
        <f t="shared" si="5"/>
        <v>4.4400000000000004E-31</v>
      </c>
      <c r="Q41" s="12">
        <f t="shared" si="6"/>
        <v>0</v>
      </c>
      <c r="R41" s="12">
        <f t="shared" si="7"/>
        <v>33.383458646616546</v>
      </c>
      <c r="S41" s="12">
        <f t="shared" si="8"/>
        <v>3.1080000000000041</v>
      </c>
      <c r="T41" s="12">
        <f t="shared" si="9"/>
        <v>-5.5082706766917262</v>
      </c>
      <c r="U41" s="15">
        <f t="shared" si="10"/>
        <v>-2.4002706766917221</v>
      </c>
      <c r="V41" s="12">
        <f t="shared" si="13"/>
        <v>31.930206214229234</v>
      </c>
      <c r="W41" s="9">
        <f t="shared" si="11"/>
        <v>0</v>
      </c>
      <c r="X41" s="9">
        <f t="shared" si="12"/>
        <v>0.18490364571063464</v>
      </c>
    </row>
    <row r="42" spans="1:24" hidden="1" x14ac:dyDescent="0.25">
      <c r="A42" t="s">
        <v>178</v>
      </c>
      <c r="B42" s="7" t="s">
        <v>91</v>
      </c>
      <c r="C42" s="32" t="s">
        <v>90</v>
      </c>
      <c r="D42" s="8">
        <f ca="1">IF(ISERROR(VLOOKUP(C42,[1]Sheet1!$C:$C,1,0)),TODAY(),_xlfn.MINIFS([1]Sheet1!$F:$F,[1]Sheet1!$C:$C,C42))</f>
        <v>45833</v>
      </c>
      <c r="E42" s="2">
        <f>IFERROR(VLOOKUP(C42,'PBI Open Positions'!A:J,4,0),1E-32)</f>
        <v>1.0000000000000001E-32</v>
      </c>
      <c r="F42" s="1">
        <f>IFERROR(VLOOKUP(C42,'PBI Open Positions'!A:J,5,0),VLOOKUP(C42,'Stock Selection'!C:H,6,0))</f>
        <v>14.16</v>
      </c>
      <c r="G42" s="1">
        <f t="shared" si="0"/>
        <v>1.4160000000000001E-31</v>
      </c>
      <c r="H42" s="13">
        <v>0.1</v>
      </c>
      <c r="I42" s="11">
        <v>0.22550000000000001</v>
      </c>
      <c r="J42" s="9">
        <f t="shared" si="1"/>
        <v>0.44345898004434592</v>
      </c>
      <c r="K42" s="9">
        <f t="shared" si="2"/>
        <v>0.11529700067106234</v>
      </c>
      <c r="L42" s="9">
        <f t="shared" si="3"/>
        <v>3.1930800000000003E-32</v>
      </c>
      <c r="M42" s="12">
        <f t="shared" si="14"/>
        <v>15.576000000000002</v>
      </c>
      <c r="N42" s="12">
        <f t="shared" si="4"/>
        <v>1.5576000000000002E-31</v>
      </c>
      <c r="O42" s="12">
        <f>IFERROR(VLOOKUP(C42,'PBI Open Positions'!A:F,6,0),VLOOKUP(Positions!C42,'Stock Selection'!C:H,6,0))</f>
        <v>14.16</v>
      </c>
      <c r="P42" s="12">
        <f t="shared" si="5"/>
        <v>1.4160000000000001E-31</v>
      </c>
      <c r="Q42" s="12">
        <f t="shared" si="6"/>
        <v>0</v>
      </c>
      <c r="R42" s="12">
        <f t="shared" si="7"/>
        <v>12.581075077743225</v>
      </c>
      <c r="S42" s="12">
        <f t="shared" si="8"/>
        <v>1.4160000000000021</v>
      </c>
      <c r="T42" s="12">
        <f t="shared" si="9"/>
        <v>-0.78946246112838736</v>
      </c>
      <c r="U42" s="15">
        <f t="shared" si="10"/>
        <v>0.62653753887161479</v>
      </c>
      <c r="V42" s="12">
        <f t="shared" si="13"/>
        <v>28.903397998665895</v>
      </c>
      <c r="W42" s="9">
        <f t="shared" si="11"/>
        <v>0</v>
      </c>
      <c r="X42" s="9">
        <f t="shared" si="12"/>
        <v>0.16737579543088435</v>
      </c>
    </row>
    <row r="43" spans="1:24" hidden="1" x14ac:dyDescent="0.25">
      <c r="A43" t="s">
        <v>169</v>
      </c>
      <c r="B43" s="7" t="s">
        <v>49</v>
      </c>
      <c r="C43" s="14" t="s">
        <v>48</v>
      </c>
      <c r="D43" s="8">
        <f ca="1">IF(ISERROR(VLOOKUP(C43,[1]Sheet1!$C:$C,1,0)),TODAY(),_xlfn.MINIFS([1]Sheet1!$F:$F,[1]Sheet1!$C:$C,C43))</f>
        <v>45833</v>
      </c>
      <c r="E43" s="2">
        <f>IFERROR(VLOOKUP(C43,'PBI Open Positions'!A:J,4,0),1E-32)</f>
        <v>1.0000000000000001E-32</v>
      </c>
      <c r="F43" s="1">
        <f>IFERROR(VLOOKUP(C43,'PBI Open Positions'!A:J,5,0),VLOOKUP(C43,'Stock Selection'!C:H,6,0))</f>
        <v>20.440000000000001</v>
      </c>
      <c r="G43" s="1">
        <f t="shared" si="0"/>
        <v>2.0440000000000004E-31</v>
      </c>
      <c r="H43" s="13">
        <v>0.05</v>
      </c>
      <c r="I43" s="11">
        <v>0.66810000000000003</v>
      </c>
      <c r="J43" s="9">
        <f t="shared" si="1"/>
        <v>7.4839095943720998E-2</v>
      </c>
      <c r="K43" s="9">
        <f t="shared" si="2"/>
        <v>1.9457771030777248E-2</v>
      </c>
      <c r="L43" s="9">
        <f t="shared" si="3"/>
        <v>1.3655964000000004E-31</v>
      </c>
      <c r="M43" s="12">
        <f t="shared" si="14"/>
        <v>21.462000000000003</v>
      </c>
      <c r="N43" s="12">
        <f t="shared" si="4"/>
        <v>2.1462000000000005E-31</v>
      </c>
      <c r="O43" s="12">
        <f>IFERROR(VLOOKUP(C43,'PBI Open Positions'!A:F,6,0),VLOOKUP(Positions!C43,'Stock Selection'!C:H,6,0))</f>
        <v>20.440000000000001</v>
      </c>
      <c r="P43" s="12">
        <f t="shared" si="5"/>
        <v>2.0440000000000004E-31</v>
      </c>
      <c r="Q43" s="12">
        <f t="shared" si="6"/>
        <v>0</v>
      </c>
      <c r="R43" s="12">
        <f t="shared" si="7"/>
        <v>12.632099375811139</v>
      </c>
      <c r="S43" s="12">
        <f t="shared" si="8"/>
        <v>1.022000000000002</v>
      </c>
      <c r="T43" s="12">
        <f t="shared" si="9"/>
        <v>-3.9039503120944312</v>
      </c>
      <c r="U43" s="15">
        <f t="shared" si="10"/>
        <v>-2.8819503120944292</v>
      </c>
      <c r="V43" s="12">
        <f t="shared" si="13"/>
        <v>32.411885849631943</v>
      </c>
      <c r="W43" s="9">
        <f t="shared" si="11"/>
        <v>0</v>
      </c>
      <c r="X43" s="9">
        <f t="shared" si="12"/>
        <v>0.18769298944530929</v>
      </c>
    </row>
    <row r="44" spans="1:24" hidden="1" x14ac:dyDescent="0.25">
      <c r="A44" t="s">
        <v>176</v>
      </c>
      <c r="B44" s="5" t="s">
        <v>75</v>
      </c>
      <c r="C44" t="s">
        <v>202</v>
      </c>
      <c r="D44" s="8">
        <f ca="1">IF(ISERROR(VLOOKUP(C44,[1]Sheet1!$C:$C,1,0)),TODAY(),_xlfn.MINIFS([1]Sheet1!$F:$F,[1]Sheet1!$C:$C,C44))</f>
        <v>45833</v>
      </c>
      <c r="E44" s="2">
        <f>IFERROR(VLOOKUP(C44,'PBI Open Positions'!A:J,4,0),1E-32)</f>
        <v>1.0000000000000001E-32</v>
      </c>
      <c r="F44" s="1">
        <f>IFERROR(VLOOKUP(C44,'PBI Open Positions'!A:J,5,0),VLOOKUP(C44,'Stock Selection'!C:H,6,0))</f>
        <v>18.98</v>
      </c>
      <c r="G44" s="1">
        <f t="shared" si="0"/>
        <v>1.8980000000000002E-31</v>
      </c>
      <c r="H44" s="13">
        <v>0.1</v>
      </c>
      <c r="I44" s="11">
        <v>0.15</v>
      </c>
      <c r="J44" s="9">
        <f t="shared" si="1"/>
        <v>0.66666666666666674</v>
      </c>
      <c r="K44" s="9">
        <f t="shared" si="2"/>
        <v>0.17332982434216374</v>
      </c>
      <c r="L44" s="9">
        <f t="shared" si="3"/>
        <v>2.8470000000000001E-32</v>
      </c>
      <c r="M44" s="12">
        <v>21.2</v>
      </c>
      <c r="N44" s="12">
        <f t="shared" si="4"/>
        <v>2.12E-31</v>
      </c>
      <c r="O44" s="12">
        <f>IFERROR(VLOOKUP(C44,'PBI Open Positions'!A:F,6,0),VLOOKUP(Positions!C44,'Stock Selection'!C:H,6,0))</f>
        <v>18.98</v>
      </c>
      <c r="P44" s="12">
        <f t="shared" si="5"/>
        <v>1.8980000000000002E-31</v>
      </c>
      <c r="Q44" s="12">
        <f t="shared" si="6"/>
        <v>0</v>
      </c>
      <c r="R44" s="12">
        <f t="shared" si="7"/>
        <v>18.076190476190479</v>
      </c>
      <c r="S44" s="12">
        <f t="shared" si="8"/>
        <v>2.2199999999999989</v>
      </c>
      <c r="T44" s="12">
        <f t="shared" si="9"/>
        <v>-0.45190476190476048</v>
      </c>
      <c r="U44" s="15">
        <f t="shared" si="10"/>
        <v>1.7680952380952384</v>
      </c>
      <c r="V44" s="12">
        <f t="shared" si="13"/>
        <v>27.761840299442273</v>
      </c>
      <c r="W44" s="9">
        <f t="shared" si="11"/>
        <v>0</v>
      </c>
      <c r="X44" s="9">
        <f t="shared" si="12"/>
        <v>0.16076518418210928</v>
      </c>
    </row>
    <row r="45" spans="1:24" hidden="1" x14ac:dyDescent="0.25">
      <c r="A45" t="s">
        <v>178</v>
      </c>
      <c r="B45" s="7" t="s">
        <v>52</v>
      </c>
      <c r="C45" t="s">
        <v>224</v>
      </c>
      <c r="D45" s="8">
        <f ca="1">IF(ISERROR(VLOOKUP(C45,[1]Sheet1!$C:$C,1,0)),TODAY(),_xlfn.MINIFS([1]Sheet1!$F:$F,[1]Sheet1!$C:$C,C45))</f>
        <v>45833</v>
      </c>
      <c r="E45" s="2">
        <f>IFERROR(VLOOKUP(C45,'PBI Open Positions'!A:J,4,0),1E-32)</f>
        <v>1.0000000000000001E-32</v>
      </c>
      <c r="F45" s="1">
        <v>18.489999999999998</v>
      </c>
      <c r="G45" s="1">
        <f t="shared" si="0"/>
        <v>1.8489999999999999E-31</v>
      </c>
      <c r="H45" s="13">
        <v>0.28999999999999998</v>
      </c>
      <c r="I45" s="11">
        <v>0.35510000000000003</v>
      </c>
      <c r="J45" s="9">
        <f t="shared" si="1"/>
        <v>0.81667136018023079</v>
      </c>
      <c r="K45" s="9">
        <f t="shared" si="2"/>
        <v>0.21233025510797299</v>
      </c>
      <c r="L45" s="9">
        <f t="shared" si="3"/>
        <v>6.5657989999999998E-32</v>
      </c>
      <c r="M45" s="12">
        <f>F45/(1-(F45*(1+H45)-F45)/(F45*(1+H45)))</f>
        <v>23.8521</v>
      </c>
      <c r="N45" s="12">
        <f t="shared" si="4"/>
        <v>2.38521E-31</v>
      </c>
      <c r="O45" s="12">
        <f>IFERROR(VLOOKUP(C45,'PBI Open Positions'!A:F,6,0),VLOOKUP(Positions!C45,'Stock Selection'!C:H,6,0))</f>
        <v>0</v>
      </c>
      <c r="P45" s="12">
        <f t="shared" si="5"/>
        <v>0</v>
      </c>
      <c r="Q45" s="12">
        <f t="shared" si="6"/>
        <v>-1.8489999999999999E-31</v>
      </c>
      <c r="R45" s="12">
        <f t="shared" si="7"/>
        <v>17.359872312458922</v>
      </c>
      <c r="S45" s="12">
        <f t="shared" si="8"/>
        <v>5.3621000000000016</v>
      </c>
      <c r="T45" s="12">
        <f t="shared" si="9"/>
        <v>-0.5650638437705382</v>
      </c>
      <c r="U45" s="15">
        <f t="shared" si="10"/>
        <v>4.7970361562294634</v>
      </c>
      <c r="V45" s="12">
        <f t="shared" si="13"/>
        <v>24.732899381308048</v>
      </c>
      <c r="W45" s="9">
        <f t="shared" si="11"/>
        <v>0</v>
      </c>
      <c r="X45" s="9">
        <f t="shared" si="12"/>
        <v>0.14322498370086242</v>
      </c>
    </row>
    <row r="46" spans="1:24" hidden="1" x14ac:dyDescent="0.25">
      <c r="A46" t="s">
        <v>169</v>
      </c>
      <c r="B46" s="7" t="s">
        <v>45</v>
      </c>
      <c r="C46" t="s">
        <v>44</v>
      </c>
      <c r="D46" s="8">
        <f ca="1">IF(ISERROR(VLOOKUP(C46,[1]Sheet1!$C:$C,1,0)),TODAY(),_xlfn.MINIFS([1]Sheet1!$F:$F,[1]Sheet1!$C:$C,C46))</f>
        <v>45833</v>
      </c>
      <c r="E46" s="2">
        <f>IFERROR(VLOOKUP(C46,'PBI Open Positions'!A:J,4,0),1E-32)</f>
        <v>1.0000000000000001E-32</v>
      </c>
      <c r="F46" s="1">
        <f>IFERROR(VLOOKUP(C46,'PBI Open Positions'!A:J,5,0),VLOOKUP(C46,'Stock Selection'!C:H,6,0))</f>
        <v>10.61</v>
      </c>
      <c r="G46" s="1">
        <f t="shared" si="0"/>
        <v>1.061E-31</v>
      </c>
      <c r="H46" s="13">
        <v>0.05</v>
      </c>
      <c r="I46" s="11">
        <v>0.72170000000000001</v>
      </c>
      <c r="J46" s="9">
        <f t="shared" si="1"/>
        <v>6.9280864625190522E-2</v>
      </c>
      <c r="K46" s="9">
        <f t="shared" si="2"/>
        <v>1.8012660143636245E-2</v>
      </c>
      <c r="L46" s="9">
        <f t="shared" si="3"/>
        <v>7.6572370000000001E-32</v>
      </c>
      <c r="M46" s="12">
        <f>F46/(1-(F46*(1+H46)-F46)/(F46*(1+H46)))</f>
        <v>11.140499999999999</v>
      </c>
      <c r="N46" s="12">
        <f t="shared" si="4"/>
        <v>1.1140500000000001E-31</v>
      </c>
      <c r="O46" s="12">
        <f>IFERROR(VLOOKUP(C46,'PBI Open Positions'!A:F,6,0),VLOOKUP(Positions!C46,'Stock Selection'!C:H,6,0))</f>
        <v>10.61</v>
      </c>
      <c r="P46" s="12">
        <f t="shared" si="5"/>
        <v>1.061E-31</v>
      </c>
      <c r="Q46" s="12">
        <f t="shared" si="6"/>
        <v>0</v>
      </c>
      <c r="R46" s="12">
        <f t="shared" si="7"/>
        <v>6.3468325656517317</v>
      </c>
      <c r="S46" s="12">
        <f t="shared" si="8"/>
        <v>0.53049999999999997</v>
      </c>
      <c r="T46" s="12">
        <f t="shared" si="9"/>
        <v>-2.1315837171741339</v>
      </c>
      <c r="U46" s="15">
        <f t="shared" si="10"/>
        <v>-1.6010837171741339</v>
      </c>
      <c r="V46" s="12">
        <f t="shared" si="13"/>
        <v>31.131019254711646</v>
      </c>
      <c r="W46" s="9">
        <f t="shared" si="11"/>
        <v>0</v>
      </c>
      <c r="X46" s="9">
        <f t="shared" si="12"/>
        <v>0.18027565861190595</v>
      </c>
    </row>
    <row r="47" spans="1:24" hidden="1" x14ac:dyDescent="0.25">
      <c r="A47" t="s">
        <v>169</v>
      </c>
      <c r="B47" s="7" t="s">
        <v>51</v>
      </c>
      <c r="C47" s="14" t="s">
        <v>50</v>
      </c>
      <c r="D47" s="8">
        <f ca="1">IF(ISERROR(VLOOKUP(C47,[1]Sheet1!$C:$C,1,0)),TODAY(),_xlfn.MINIFS([1]Sheet1!$F:$F,[1]Sheet1!$C:$C,C47))</f>
        <v>45833</v>
      </c>
      <c r="E47" s="2">
        <f>IFERROR(VLOOKUP(C47,'PBI Open Positions'!A:J,4,0),1E-32)</f>
        <v>1.0000000000000001E-32</v>
      </c>
      <c r="F47" s="1">
        <f>IFERROR(VLOOKUP(C47,'PBI Open Positions'!A:J,5,0),VLOOKUP(C47,'Stock Selection'!C:H,6,0))</f>
        <v>2.92</v>
      </c>
      <c r="G47" s="1">
        <f t="shared" si="0"/>
        <v>2.9200000000000002E-32</v>
      </c>
      <c r="H47" s="13">
        <v>0</v>
      </c>
      <c r="I47" s="13">
        <v>1.8652</v>
      </c>
      <c r="J47" s="9">
        <f t="shared" si="1"/>
        <v>0</v>
      </c>
      <c r="K47" s="9">
        <f t="shared" si="2"/>
        <v>0</v>
      </c>
      <c r="L47" s="9">
        <f t="shared" si="3"/>
        <v>5.4463839999999998E-32</v>
      </c>
      <c r="M47" s="12">
        <f>F47/(1-(F47*(1+H47)-F47)/(F47*(1+H47)))</f>
        <v>2.92</v>
      </c>
      <c r="N47" s="12">
        <f t="shared" si="4"/>
        <v>2.9200000000000002E-32</v>
      </c>
      <c r="O47" s="12">
        <f>IFERROR(VLOOKUP(C47,'PBI Open Positions'!A:F,6,0),VLOOKUP(Positions!C47,'Stock Selection'!C:H,6,0))</f>
        <v>2.92</v>
      </c>
      <c r="P47" s="12">
        <f t="shared" si="5"/>
        <v>2.9200000000000002E-32</v>
      </c>
      <c r="Q47" s="12">
        <f t="shared" si="6"/>
        <v>0</v>
      </c>
      <c r="R47" s="12">
        <f t="shared" si="7"/>
        <v>1.0191260644981153</v>
      </c>
      <c r="S47" s="12">
        <f t="shared" si="8"/>
        <v>0</v>
      </c>
      <c r="T47" s="12">
        <f t="shared" si="9"/>
        <v>-0.95043696775094233</v>
      </c>
      <c r="U47" s="15">
        <f t="shared" si="10"/>
        <v>-0.95043696775094233</v>
      </c>
      <c r="V47" s="12">
        <f t="shared" si="13"/>
        <v>30.480372505288454</v>
      </c>
      <c r="W47" s="9">
        <f t="shared" si="11"/>
        <v>0</v>
      </c>
      <c r="X47" s="9">
        <f t="shared" si="12"/>
        <v>0.17650784843144715</v>
      </c>
    </row>
    <row r="48" spans="1:24" x14ac:dyDescent="0.25">
      <c r="A48" t="s">
        <v>171</v>
      </c>
      <c r="B48" s="4" t="s">
        <v>177</v>
      </c>
      <c r="C48" t="s">
        <v>198</v>
      </c>
      <c r="D48" s="8">
        <f ca="1">IF(ISERROR(VLOOKUP(C48,[1]Sheet1!$C:$C,1,0)),TODAY(),_xlfn.MINIFS([1]Sheet1!$F:$F,[1]Sheet1!$C:$C,C48))</f>
        <v>45785.669720706021</v>
      </c>
      <c r="E48" s="2">
        <f>IFERROR(VLOOKUP(C48,'PBI Open Positions'!A:J,4,0),1E-32)</f>
        <v>6.0331999999999999</v>
      </c>
      <c r="F48" s="1">
        <f>IFERROR(VLOOKUP(C48,'PBI Open Positions'!A:J,5,0),VLOOKUP(C48,'Stock Selection'!C:H,6,0))</f>
        <v>14.92</v>
      </c>
      <c r="G48" s="1">
        <f t="shared" ref="G48" si="15">E48*F48</f>
        <v>90.015343999999999</v>
      </c>
      <c r="H48" s="13">
        <v>0.1177</v>
      </c>
      <c r="I48" s="11">
        <v>0.18329999999999999</v>
      </c>
      <c r="J48" s="9">
        <f t="shared" ref="J48" si="16">IFERROR(H48/I48,"")</f>
        <v>0.64211674849972722</v>
      </c>
      <c r="K48" s="9">
        <f t="shared" ref="K48" si="17">IFERROR(J48/SUBTOTAL(9,$J$2:$J$1048576),"")</f>
        <v>0.16694697483692855</v>
      </c>
      <c r="L48" s="9">
        <f t="shared" ref="L48" si="18">I48*G48</f>
        <v>16.499812555199998</v>
      </c>
      <c r="M48" s="12">
        <f t="shared" ref="M48" si="19">F48/(1-(F48*(1+H48)-F48)/(F48*(1+H48)))</f>
        <v>16.676083999999999</v>
      </c>
      <c r="N48" s="12">
        <f t="shared" ref="N48" si="20">M48*E48</f>
        <v>100.61014998879999</v>
      </c>
      <c r="O48" s="12">
        <f>IFERROR(VLOOKUP(C48,'PBI Open Positions'!A:F,6,0),VLOOKUP(Positions!C48,'Stock Selection'!C:H,6,0))</f>
        <v>15.14</v>
      </c>
      <c r="P48" s="12">
        <f t="shared" ref="P48" si="21">IFERROR(O48*E48,G48)</f>
        <v>91.342647999999997</v>
      </c>
      <c r="Q48" s="12">
        <f t="shared" ref="Q48" si="22">P48-G48</f>
        <v>1.327303999999998</v>
      </c>
      <c r="R48" s="12">
        <f t="shared" ref="R48" si="23">F48/(1+I48-H48)</f>
        <v>14.001501501501501</v>
      </c>
      <c r="S48" s="12">
        <f t="shared" ref="S48" si="24">M48-F48</f>
        <v>1.7560839999999995</v>
      </c>
      <c r="T48" s="12">
        <f t="shared" ref="T48" si="25">0.5*(R48-F48)</f>
        <v>-0.45924924924924948</v>
      </c>
      <c r="U48" s="15">
        <f t="shared" ref="U48" si="26">S48+T48</f>
        <v>1.2968347507507501</v>
      </c>
      <c r="V48" s="12">
        <f t="shared" si="13"/>
        <v>28.23310078678676</v>
      </c>
      <c r="W48" s="9">
        <f t="shared" ref="W48" si="27">IFERROR((SUBTOTAL(109,$V$2:$V$1048576)/V48)/SUBTOTAL(109,$V$2:$V$1048576),0)</f>
        <v>0</v>
      </c>
      <c r="X48" s="9">
        <f t="shared" ref="X48" si="28">V48/MAX($V$2:$V$28)</f>
        <v>0.16349419199385759</v>
      </c>
    </row>
    <row r="49" spans="1:24" x14ac:dyDescent="0.25">
      <c r="A49" t="s">
        <v>171</v>
      </c>
      <c r="B49" s="4" t="s">
        <v>179</v>
      </c>
      <c r="C49" t="s">
        <v>180</v>
      </c>
      <c r="D49" s="8">
        <f ca="1">IF(ISERROR(VLOOKUP(C49,[1]Sheet1!$C:$C,1,0)),TODAY(),_xlfn.MINIFS([1]Sheet1!$F:$F,[1]Sheet1!$C:$C,C49))</f>
        <v>45789.648593773149</v>
      </c>
      <c r="E49" s="2">
        <f>IFERROR(VLOOKUP(C49,'PBI Open Positions'!A:J,4,0),1E-32)</f>
        <v>1.5439000000000001</v>
      </c>
      <c r="F49" s="1">
        <f>IFERROR(VLOOKUP(C49,'PBI Open Positions'!A:J,5,0),VLOOKUP(C49,'Stock Selection'!C:H,6,0))</f>
        <v>42.09</v>
      </c>
      <c r="G49" s="1">
        <f t="shared" ref="G49" si="29">E49*F49</f>
        <v>64.982751000000007</v>
      </c>
      <c r="H49" s="13">
        <v>0.1177</v>
      </c>
      <c r="I49" s="11">
        <v>0.18329999999999999</v>
      </c>
      <c r="J49" s="9">
        <f t="shared" ref="J49" si="30">IFERROR(H49/I49,"")</f>
        <v>0.64211674849972722</v>
      </c>
      <c r="K49" s="9">
        <f t="shared" ref="K49" si="31">IFERROR(J49/SUBTOTAL(9,$J$2:$J$1048576),"")</f>
        <v>0.16694697483692855</v>
      </c>
      <c r="L49" s="9">
        <f t="shared" ref="L49" si="32">I49*G49</f>
        <v>11.911338258300001</v>
      </c>
      <c r="M49" s="12">
        <f t="shared" ref="M49" si="33">F49/(1-(F49*(1+H49)-F49)/(F49*(1+H49)))</f>
        <v>47.043993</v>
      </c>
      <c r="N49" s="12">
        <f t="shared" ref="N49" si="34">M49*E49</f>
        <v>72.631220792700006</v>
      </c>
      <c r="O49" s="12">
        <f>IFERROR(VLOOKUP(C49,'PBI Open Positions'!A:F,6,0),VLOOKUP(Positions!C49,'Stock Selection'!C:H,6,0))</f>
        <v>44.92</v>
      </c>
      <c r="P49" s="12">
        <f t="shared" ref="P49" si="35">IFERROR(O49*E49,G49)</f>
        <v>69.351988000000006</v>
      </c>
      <c r="Q49" s="12">
        <f t="shared" ref="Q49" si="36">P49-G49</f>
        <v>4.3692369999999983</v>
      </c>
      <c r="R49" s="12">
        <f t="shared" ref="R49" si="37">F49/(1+I49-H49)</f>
        <v>39.498873873873876</v>
      </c>
      <c r="S49" s="12">
        <f t="shared" ref="S49" si="38">M49-F49</f>
        <v>4.953992999999997</v>
      </c>
      <c r="T49" s="12">
        <f t="shared" ref="T49" si="39">0.5*(R49-F49)</f>
        <v>-1.2955630630630637</v>
      </c>
      <c r="U49" s="15">
        <f t="shared" ref="U49" si="40">S49+T49</f>
        <v>3.6584299369369333</v>
      </c>
      <c r="V49" s="12">
        <f t="shared" si="13"/>
        <v>25.871505600600578</v>
      </c>
      <c r="W49" s="9">
        <f t="shared" ref="W49" si="41">IFERROR((SUBTOTAL(109,$V$2:$V$1048576)/V49)/SUBTOTAL(109,$V$2:$V$1048576),0)</f>
        <v>0</v>
      </c>
      <c r="X49" s="9">
        <f t="shared" ref="X49" si="42">V49/MAX($V$2:$V$28)</f>
        <v>0.14981850331559546</v>
      </c>
    </row>
    <row r="50" spans="1:24" hidden="1" x14ac:dyDescent="0.25">
      <c r="A50" t="s">
        <v>188</v>
      </c>
      <c r="C50" t="s">
        <v>181</v>
      </c>
      <c r="D50" s="8">
        <f ca="1">IF(ISERROR(VLOOKUP(C50,[1]Sheet1!$C:$C,1,0)),TODAY(),_xlfn.MINIFS([1]Sheet1!$F:$F,[1]Sheet1!$C:$C,C50))</f>
        <v>45833</v>
      </c>
      <c r="E50" s="2">
        <f>IFERROR(VLOOKUP(C50,'PBI Open Positions'!A:J,4,0),1E-32)</f>
        <v>1.0000000000000001E-32</v>
      </c>
      <c r="F50" s="1">
        <f>IFERROR(VLOOKUP(C50,'PBI Open Positions'!A:J,5,0),VLOOKUP(C50,'Stock Selection'!C:H,6,0))</f>
        <v>103.28</v>
      </c>
      <c r="G50" s="1">
        <f t="shared" ref="G50:G61" si="43">E50*F50</f>
        <v>1.0328000000000001E-30</v>
      </c>
      <c r="H50" s="13">
        <v>0.05</v>
      </c>
      <c r="I50" s="11">
        <v>0.18329999999999999</v>
      </c>
      <c r="J50" s="9">
        <f t="shared" ref="J50:J61" si="44">IFERROR(H50/I50,"")</f>
        <v>0.27277686852154942</v>
      </c>
      <c r="K50" s="9">
        <f t="shared" ref="K50:K61" si="45">IFERROR(J50/SUBTOTAL(9,$J$2:$J$1048576),"")</f>
        <v>7.0920550058168469E-2</v>
      </c>
      <c r="L50" s="9">
        <f t="shared" ref="L50:L61" si="46">I50*G50</f>
        <v>1.8931224000000001E-31</v>
      </c>
      <c r="M50" s="12">
        <f t="shared" ref="M50:M61" si="47">F50/(1-(F50*(1+H50)-F50)/(F50*(1+H50)))</f>
        <v>108.444</v>
      </c>
      <c r="N50" s="12">
        <f t="shared" ref="N50:N61" si="48">M50*E50</f>
        <v>1.0844400000000001E-30</v>
      </c>
      <c r="O50" s="12">
        <f>IFERROR(VLOOKUP(C50,'PBI Open Positions'!A:F,6,0),VLOOKUP(Positions!C50,'Stock Selection'!C:H,6,0))</f>
        <v>103.28</v>
      </c>
      <c r="P50" s="12">
        <f t="shared" ref="P50:P61" si="49">IFERROR(O50*E50,G50)</f>
        <v>1.0328000000000001E-30</v>
      </c>
      <c r="Q50" s="12">
        <f t="shared" ref="Q50:Q61" si="50">P50-G50</f>
        <v>0</v>
      </c>
      <c r="R50" s="12">
        <f t="shared" ref="R50:R61" si="51">F50/(1+I50-H50)</f>
        <v>91.132092120356489</v>
      </c>
      <c r="S50" s="12">
        <f t="shared" ref="S50:S61" si="52">M50-F50</f>
        <v>5.1640000000000015</v>
      </c>
      <c r="T50" s="12">
        <f t="shared" ref="T50:T61" si="53">0.5*(R50-F50)</f>
        <v>-6.0739539398217559</v>
      </c>
      <c r="U50" s="15">
        <f t="shared" ref="U50:U61" si="54">S50+T50</f>
        <v>-0.90995393982175443</v>
      </c>
      <c r="V50" s="12">
        <f t="shared" si="13"/>
        <v>30.439889477359266</v>
      </c>
      <c r="W50" s="9">
        <f t="shared" ref="W50:W61" si="55">IFERROR((SUBTOTAL(109,$V$2:$V$1048576)/V50)/SUBTOTAL(109,$V$2:$V$1048576),0)</f>
        <v>0</v>
      </c>
      <c r="X50" s="9">
        <f t="shared" ref="X50:X61" si="56">V50/MAX($V$2:$V$28)</f>
        <v>0.17627341651443132</v>
      </c>
    </row>
    <row r="51" spans="1:24" hidden="1" x14ac:dyDescent="0.25">
      <c r="A51" t="s">
        <v>188</v>
      </c>
      <c r="C51" t="s">
        <v>182</v>
      </c>
      <c r="D51" s="8">
        <f ca="1">IF(ISERROR(VLOOKUP(C51,[1]Sheet1!$C:$C,1,0)),TODAY(),_xlfn.MINIFS([1]Sheet1!$F:$F,[1]Sheet1!$C:$C,C51))</f>
        <v>45833</v>
      </c>
      <c r="E51" s="2">
        <f>IFERROR(VLOOKUP(C51,'PBI Open Positions'!A:J,4,0),1E-32)</f>
        <v>1.0000000000000001E-32</v>
      </c>
      <c r="F51" s="1">
        <f>IFERROR(VLOOKUP(C51,'PBI Open Positions'!A:J,5,0),VLOOKUP(C51,'Stock Selection'!C:H,6,0))</f>
        <v>0</v>
      </c>
      <c r="G51" s="1">
        <f t="shared" si="43"/>
        <v>0</v>
      </c>
      <c r="H51" s="13">
        <v>0.05</v>
      </c>
      <c r="I51" s="11">
        <v>0.18329999999999999</v>
      </c>
      <c r="J51" s="9">
        <f t="shared" si="44"/>
        <v>0.27277686852154942</v>
      </c>
      <c r="K51" s="9">
        <f t="shared" si="45"/>
        <v>7.0920550058168469E-2</v>
      </c>
      <c r="L51" s="9">
        <f t="shared" si="46"/>
        <v>0</v>
      </c>
      <c r="M51" s="12" t="e">
        <f t="shared" si="47"/>
        <v>#DIV/0!</v>
      </c>
      <c r="N51" s="12" t="e">
        <f t="shared" si="48"/>
        <v>#DIV/0!</v>
      </c>
      <c r="O51" s="12">
        <f>IFERROR(VLOOKUP(C51,'PBI Open Positions'!A:F,6,0),VLOOKUP(Positions!C51,'Stock Selection'!C:H,6,0))</f>
        <v>0</v>
      </c>
      <c r="P51" s="12">
        <f t="shared" si="49"/>
        <v>0</v>
      </c>
      <c r="Q51" s="12">
        <f t="shared" si="50"/>
        <v>0</v>
      </c>
      <c r="R51" s="12">
        <f t="shared" si="51"/>
        <v>0</v>
      </c>
      <c r="S51" s="12" t="e">
        <f t="shared" si="52"/>
        <v>#DIV/0!</v>
      </c>
      <c r="T51" s="12">
        <f t="shared" si="53"/>
        <v>0</v>
      </c>
      <c r="U51" s="15" t="e">
        <f t="shared" si="54"/>
        <v>#DIV/0!</v>
      </c>
      <c r="V51" s="12" t="e">
        <f t="shared" si="13"/>
        <v>#DIV/0!</v>
      </c>
      <c r="W51" s="9">
        <f t="shared" si="55"/>
        <v>0</v>
      </c>
      <c r="X51" s="9" t="e">
        <f t="shared" si="56"/>
        <v>#DIV/0!</v>
      </c>
    </row>
    <row r="52" spans="1:24" hidden="1" x14ac:dyDescent="0.25">
      <c r="A52" t="s">
        <v>188</v>
      </c>
      <c r="C52" t="s">
        <v>200</v>
      </c>
      <c r="D52" s="8">
        <f ca="1">IF(ISERROR(VLOOKUP(C52,[1]Sheet1!$C:$C,1,0)),TODAY(),_xlfn.MINIFS([1]Sheet1!$F:$F,[1]Sheet1!$C:$C,C52))</f>
        <v>45833</v>
      </c>
      <c r="E52" s="2">
        <f>IFERROR(VLOOKUP(C52,'PBI Open Positions'!A:J,4,0),1E-32)</f>
        <v>1.0000000000000001E-32</v>
      </c>
      <c r="F52" s="1">
        <f>IFERROR(VLOOKUP(C52,'PBI Open Positions'!A:J,5,0),VLOOKUP(C52,'Stock Selection'!C:H,6,0))</f>
        <v>6.27</v>
      </c>
      <c r="G52" s="1">
        <f t="shared" si="43"/>
        <v>6.2700000000000002E-32</v>
      </c>
      <c r="H52" s="13">
        <v>0.05</v>
      </c>
      <c r="I52" s="11">
        <v>0.18329999999999999</v>
      </c>
      <c r="J52" s="9">
        <f t="shared" si="44"/>
        <v>0.27277686852154942</v>
      </c>
      <c r="K52" s="9">
        <f t="shared" si="45"/>
        <v>7.0920550058168469E-2</v>
      </c>
      <c r="L52" s="9">
        <f t="shared" si="46"/>
        <v>1.149291E-32</v>
      </c>
      <c r="M52" s="12">
        <f t="shared" si="47"/>
        <v>6.5834999999999999</v>
      </c>
      <c r="N52" s="12">
        <f t="shared" si="48"/>
        <v>6.5835000000000004E-32</v>
      </c>
      <c r="O52" s="12">
        <f>IFERROR(VLOOKUP(C52,'PBI Open Positions'!A:F,6,0),VLOOKUP(Positions!C52,'Stock Selection'!C:H,6,0))</f>
        <v>6.27</v>
      </c>
      <c r="P52" s="12">
        <f t="shared" si="49"/>
        <v>6.2700000000000002E-32</v>
      </c>
      <c r="Q52" s="12">
        <f t="shared" si="50"/>
        <v>0</v>
      </c>
      <c r="R52" s="12">
        <f t="shared" si="51"/>
        <v>5.5325156622253591</v>
      </c>
      <c r="S52" s="12">
        <f t="shared" si="52"/>
        <v>0.31350000000000033</v>
      </c>
      <c r="T52" s="12">
        <f t="shared" si="53"/>
        <v>-0.36874216888732025</v>
      </c>
      <c r="U52" s="15">
        <f t="shared" si="54"/>
        <v>-5.524216888731992E-2</v>
      </c>
      <c r="V52" s="12">
        <f t="shared" si="13"/>
        <v>29.58517770642483</v>
      </c>
      <c r="W52" s="9">
        <f t="shared" si="55"/>
        <v>0</v>
      </c>
      <c r="X52" s="9">
        <f t="shared" si="56"/>
        <v>0.17132389249891958</v>
      </c>
    </row>
    <row r="53" spans="1:24" hidden="1" x14ac:dyDescent="0.25">
      <c r="A53" t="s">
        <v>188</v>
      </c>
      <c r="C53" t="s">
        <v>183</v>
      </c>
      <c r="D53" s="8">
        <f ca="1">IF(ISERROR(VLOOKUP(C53,[1]Sheet1!$C:$C,1,0)),TODAY(),_xlfn.MINIFS([1]Sheet1!$F:$F,[1]Sheet1!$C:$C,C53))</f>
        <v>45833</v>
      </c>
      <c r="E53" s="2">
        <f>IFERROR(VLOOKUP(C53,'PBI Open Positions'!A:J,4,0),1E-32)</f>
        <v>1.0000000000000001E-32</v>
      </c>
      <c r="F53" s="1">
        <f>IFERROR(VLOOKUP(C53,'PBI Open Positions'!A:J,5,0),VLOOKUP(C53,'Stock Selection'!C:H,6,0))</f>
        <v>107.2</v>
      </c>
      <c r="G53" s="1">
        <f t="shared" si="43"/>
        <v>1.072E-30</v>
      </c>
      <c r="H53" s="13">
        <v>0.05</v>
      </c>
      <c r="I53" s="11">
        <v>0.18329999999999999</v>
      </c>
      <c r="J53" s="9">
        <f t="shared" si="44"/>
        <v>0.27277686852154942</v>
      </c>
      <c r="K53" s="9">
        <f t="shared" si="45"/>
        <v>7.0920550058168469E-2</v>
      </c>
      <c r="L53" s="9">
        <f t="shared" si="46"/>
        <v>1.964976E-31</v>
      </c>
      <c r="M53" s="12">
        <f t="shared" si="47"/>
        <v>112.56</v>
      </c>
      <c r="N53" s="12">
        <f t="shared" si="48"/>
        <v>1.1256E-30</v>
      </c>
      <c r="O53" s="12">
        <f>IFERROR(VLOOKUP(C53,'PBI Open Positions'!A:F,6,0),VLOOKUP(Positions!C53,'Stock Selection'!C:H,6,0))</f>
        <v>107.2</v>
      </c>
      <c r="P53" s="12">
        <f t="shared" si="49"/>
        <v>1.072E-30</v>
      </c>
      <c r="Q53" s="12">
        <f t="shared" si="50"/>
        <v>0</v>
      </c>
      <c r="R53" s="12">
        <f t="shared" si="51"/>
        <v>94.591017382864209</v>
      </c>
      <c r="S53" s="12">
        <f t="shared" si="52"/>
        <v>5.3599999999999994</v>
      </c>
      <c r="T53" s="12">
        <f t="shared" si="53"/>
        <v>-6.3044913085678971</v>
      </c>
      <c r="U53" s="15">
        <f t="shared" si="54"/>
        <v>-0.94449130856789765</v>
      </c>
      <c r="V53" s="12">
        <f t="shared" si="13"/>
        <v>30.474426846105409</v>
      </c>
      <c r="W53" s="9">
        <f t="shared" si="55"/>
        <v>0</v>
      </c>
      <c r="X53" s="9">
        <f t="shared" si="56"/>
        <v>0.17647341789718368</v>
      </c>
    </row>
    <row r="54" spans="1:24" hidden="1" x14ac:dyDescent="0.25">
      <c r="A54" t="s">
        <v>188</v>
      </c>
      <c r="C54" t="s">
        <v>184</v>
      </c>
      <c r="D54" s="8">
        <f ca="1">IF(ISERROR(VLOOKUP(C54,[1]Sheet1!$C:$C,1,0)),TODAY(),_xlfn.MINIFS([1]Sheet1!$F:$F,[1]Sheet1!$C:$C,C54))</f>
        <v>45833</v>
      </c>
      <c r="E54" s="2">
        <f>IFERROR(VLOOKUP(C54,'PBI Open Positions'!A:J,4,0),1E-32)</f>
        <v>1.0000000000000001E-32</v>
      </c>
      <c r="F54" s="1">
        <f>IFERROR(VLOOKUP(C54,'PBI Open Positions'!A:J,5,0),VLOOKUP(C54,'Stock Selection'!C:H,6,0))</f>
        <v>18.62</v>
      </c>
      <c r="G54" s="1">
        <f t="shared" si="43"/>
        <v>1.8620000000000001E-31</v>
      </c>
      <c r="H54" s="13">
        <v>0.05</v>
      </c>
      <c r="I54" s="11">
        <v>0.18329999999999999</v>
      </c>
      <c r="J54" s="9">
        <f t="shared" si="44"/>
        <v>0.27277686852154942</v>
      </c>
      <c r="K54" s="9">
        <f t="shared" si="45"/>
        <v>7.0920550058168469E-2</v>
      </c>
      <c r="L54" s="9">
        <f t="shared" si="46"/>
        <v>3.4130459999999999E-32</v>
      </c>
      <c r="M54" s="12">
        <f t="shared" si="47"/>
        <v>19.551000000000002</v>
      </c>
      <c r="N54" s="12">
        <f t="shared" si="48"/>
        <v>1.9551000000000002E-31</v>
      </c>
      <c r="O54" s="12">
        <f>IFERROR(VLOOKUP(C54,'PBI Open Positions'!A:F,6,0),VLOOKUP(Positions!C54,'Stock Selection'!C:H,6,0))</f>
        <v>18.62</v>
      </c>
      <c r="P54" s="12">
        <f t="shared" si="49"/>
        <v>1.8620000000000001E-31</v>
      </c>
      <c r="Q54" s="12">
        <f t="shared" si="50"/>
        <v>0</v>
      </c>
      <c r="R54" s="12">
        <f t="shared" si="51"/>
        <v>16.429894996911674</v>
      </c>
      <c r="S54" s="12">
        <f t="shared" si="52"/>
        <v>0.93100000000000094</v>
      </c>
      <c r="T54" s="12">
        <f t="shared" si="53"/>
        <v>-1.0950525015441634</v>
      </c>
      <c r="U54" s="15">
        <f t="shared" si="54"/>
        <v>-0.16405250154416251</v>
      </c>
      <c r="V54" s="12">
        <f t="shared" si="13"/>
        <v>29.693988039081674</v>
      </c>
      <c r="W54" s="9">
        <f t="shared" si="55"/>
        <v>0</v>
      </c>
      <c r="X54" s="9">
        <f t="shared" si="56"/>
        <v>0.17195399889611132</v>
      </c>
    </row>
    <row r="55" spans="1:24" hidden="1" x14ac:dyDescent="0.25">
      <c r="A55" t="s">
        <v>188</v>
      </c>
      <c r="C55" t="s">
        <v>34</v>
      </c>
      <c r="D55" s="8">
        <f ca="1">IF(ISERROR(VLOOKUP(C55,[1]Sheet1!$C:$C,1,0)),TODAY(),_xlfn.MINIFS([1]Sheet1!$F:$F,[1]Sheet1!$C:$C,C55))</f>
        <v>45833</v>
      </c>
      <c r="E55" s="2">
        <f>IFERROR(VLOOKUP(C55,'PBI Open Positions'!A:J,4,0),1E-32)</f>
        <v>1.0000000000000001E-32</v>
      </c>
      <c r="F55" s="1">
        <f>IFERROR(VLOOKUP(C55,'PBI Open Positions'!A:J,5,0),VLOOKUP(C55,'Stock Selection'!C:H,6,0))</f>
        <v>453.55</v>
      </c>
      <c r="G55" s="1">
        <f t="shared" si="43"/>
        <v>4.5355000000000007E-30</v>
      </c>
      <c r="H55" s="13">
        <v>0.05</v>
      </c>
      <c r="I55" s="11">
        <v>0.18329999999999999</v>
      </c>
      <c r="J55" s="9">
        <f t="shared" si="44"/>
        <v>0.27277686852154942</v>
      </c>
      <c r="K55" s="9">
        <f t="shared" si="45"/>
        <v>7.0920550058168469E-2</v>
      </c>
      <c r="L55" s="9">
        <f t="shared" si="46"/>
        <v>8.3135715000000011E-31</v>
      </c>
      <c r="M55" s="12">
        <f t="shared" si="47"/>
        <v>476.22750000000002</v>
      </c>
      <c r="N55" s="12">
        <f t="shared" si="48"/>
        <v>4.7622750000000006E-30</v>
      </c>
      <c r="O55" s="12">
        <f>IFERROR(VLOOKUP(C55,'PBI Open Positions'!A:F,6,0),VLOOKUP(Positions!C55,'Stock Selection'!C:H,6,0))</f>
        <v>453.55</v>
      </c>
      <c r="P55" s="12">
        <f t="shared" si="49"/>
        <v>4.5355000000000007E-30</v>
      </c>
      <c r="Q55" s="12">
        <f t="shared" si="50"/>
        <v>0</v>
      </c>
      <c r="R55" s="12">
        <f t="shared" si="51"/>
        <v>400.20294714550431</v>
      </c>
      <c r="S55" s="12">
        <f t="shared" si="52"/>
        <v>22.677500000000009</v>
      </c>
      <c r="T55" s="12">
        <f t="shared" si="53"/>
        <v>-26.67352642724785</v>
      </c>
      <c r="U55" s="15">
        <f t="shared" si="54"/>
        <v>-3.9960264272478412</v>
      </c>
      <c r="V55" s="12">
        <f t="shared" si="13"/>
        <v>33.525961964785353</v>
      </c>
      <c r="W55" s="9">
        <f t="shared" si="55"/>
        <v>0</v>
      </c>
      <c r="X55" s="9">
        <f t="shared" si="56"/>
        <v>0.19414445843705061</v>
      </c>
    </row>
    <row r="56" spans="1:24" hidden="1" x14ac:dyDescent="0.25">
      <c r="A56" t="s">
        <v>188</v>
      </c>
      <c r="C56" t="s">
        <v>185</v>
      </c>
      <c r="D56" s="8">
        <f ca="1">IF(ISERROR(VLOOKUP(C56,[1]Sheet1!$C:$C,1,0)),TODAY(),_xlfn.MINIFS([1]Sheet1!$F:$F,[1]Sheet1!$C:$C,C56))</f>
        <v>45833</v>
      </c>
      <c r="E56" s="2">
        <f>IFERROR(VLOOKUP(C56,'PBI Open Positions'!A:J,4,0),1E-32)</f>
        <v>1.0000000000000001E-32</v>
      </c>
      <c r="F56" s="1">
        <f>IFERROR(VLOOKUP(C56,'PBI Open Positions'!A:J,5,0),VLOOKUP(C56,'Stock Selection'!C:H,6,0))</f>
        <v>0</v>
      </c>
      <c r="G56" s="1">
        <f t="shared" si="43"/>
        <v>0</v>
      </c>
      <c r="H56" s="13">
        <v>0.05</v>
      </c>
      <c r="I56" s="11">
        <v>0.18329999999999999</v>
      </c>
      <c r="J56" s="9">
        <f t="shared" si="44"/>
        <v>0.27277686852154942</v>
      </c>
      <c r="K56" s="9">
        <f t="shared" si="45"/>
        <v>7.0920550058168469E-2</v>
      </c>
      <c r="L56" s="9">
        <f t="shared" si="46"/>
        <v>0</v>
      </c>
      <c r="M56" s="12" t="e">
        <f t="shared" si="47"/>
        <v>#DIV/0!</v>
      </c>
      <c r="N56" s="12" t="e">
        <f t="shared" si="48"/>
        <v>#DIV/0!</v>
      </c>
      <c r="O56" s="12">
        <f>IFERROR(VLOOKUP(C56,'PBI Open Positions'!A:F,6,0),VLOOKUP(Positions!C56,'Stock Selection'!C:H,6,0))</f>
        <v>0</v>
      </c>
      <c r="P56" s="12">
        <f t="shared" si="49"/>
        <v>0</v>
      </c>
      <c r="Q56" s="12">
        <f t="shared" si="50"/>
        <v>0</v>
      </c>
      <c r="R56" s="12">
        <f t="shared" si="51"/>
        <v>0</v>
      </c>
      <c r="S56" s="12" t="e">
        <f t="shared" si="52"/>
        <v>#DIV/0!</v>
      </c>
      <c r="T56" s="12">
        <f t="shared" si="53"/>
        <v>0</v>
      </c>
      <c r="U56" s="15" t="e">
        <f t="shared" si="54"/>
        <v>#DIV/0!</v>
      </c>
      <c r="V56" s="12" t="e">
        <f t="shared" si="13"/>
        <v>#DIV/0!</v>
      </c>
      <c r="W56" s="9">
        <f t="shared" si="55"/>
        <v>0</v>
      </c>
      <c r="X56" s="9" t="e">
        <f t="shared" si="56"/>
        <v>#DIV/0!</v>
      </c>
    </row>
    <row r="57" spans="1:24" hidden="1" x14ac:dyDescent="0.25">
      <c r="A57" t="s">
        <v>188</v>
      </c>
      <c r="C57" t="s">
        <v>203</v>
      </c>
      <c r="D57" s="8">
        <f ca="1">IF(ISERROR(VLOOKUP(C57,[1]Sheet1!$C:$C,1,0)),TODAY(),_xlfn.MINIFS([1]Sheet1!$F:$F,[1]Sheet1!$C:$C,C57))</f>
        <v>45833</v>
      </c>
      <c r="E57" s="2">
        <f>IFERROR(VLOOKUP(C57,'PBI Open Positions'!A:J,4,0),1E-32)</f>
        <v>1.0000000000000001E-32</v>
      </c>
      <c r="F57" s="1">
        <f>IFERROR(VLOOKUP(C57,'PBI Open Positions'!A:J,5,0),VLOOKUP(C57,'Stock Selection'!C:H,6,0))</f>
        <v>6.13</v>
      </c>
      <c r="G57" s="1">
        <f t="shared" si="43"/>
        <v>6.1300000000000002E-32</v>
      </c>
      <c r="H57" s="13">
        <v>0.05</v>
      </c>
      <c r="I57" s="11">
        <v>0.18329999999999999</v>
      </c>
      <c r="J57" s="9">
        <f t="shared" si="44"/>
        <v>0.27277686852154942</v>
      </c>
      <c r="K57" s="9">
        <f t="shared" si="45"/>
        <v>7.0920550058168469E-2</v>
      </c>
      <c r="L57" s="9">
        <f t="shared" si="46"/>
        <v>1.1236289999999999E-32</v>
      </c>
      <c r="M57" s="12">
        <f t="shared" si="47"/>
        <v>6.4365000000000006</v>
      </c>
      <c r="N57" s="12">
        <f t="shared" si="48"/>
        <v>6.4365000000000012E-32</v>
      </c>
      <c r="O57" s="12">
        <f>IFERROR(VLOOKUP(C57,'PBI Open Positions'!A:F,6,0),VLOOKUP(Positions!C57,'Stock Selection'!C:H,6,0))</f>
        <v>6.13</v>
      </c>
      <c r="P57" s="12">
        <f t="shared" si="49"/>
        <v>6.1300000000000002E-32</v>
      </c>
      <c r="Q57" s="12">
        <f t="shared" si="50"/>
        <v>0</v>
      </c>
      <c r="R57" s="12">
        <f t="shared" si="51"/>
        <v>5.4089826171357984</v>
      </c>
      <c r="S57" s="12">
        <f t="shared" si="52"/>
        <v>0.30650000000000066</v>
      </c>
      <c r="T57" s="12">
        <f t="shared" si="53"/>
        <v>-0.36050869143210074</v>
      </c>
      <c r="U57" s="15">
        <f t="shared" si="54"/>
        <v>-5.4008691432100076E-2</v>
      </c>
      <c r="V57" s="12">
        <f t="shared" si="13"/>
        <v>29.58394422896961</v>
      </c>
      <c r="W57" s="9">
        <f t="shared" si="55"/>
        <v>0</v>
      </c>
      <c r="X57" s="9">
        <f t="shared" si="56"/>
        <v>0.17131674959239271</v>
      </c>
    </row>
    <row r="58" spans="1:24" hidden="1" x14ac:dyDescent="0.25">
      <c r="A58" t="s">
        <v>188</v>
      </c>
      <c r="C58" t="s">
        <v>204</v>
      </c>
      <c r="D58" s="8">
        <f ca="1">IF(ISERROR(VLOOKUP(C58,[1]Sheet1!$C:$C,1,0)),TODAY(),_xlfn.MINIFS([1]Sheet1!$F:$F,[1]Sheet1!$C:$C,C58))</f>
        <v>45833</v>
      </c>
      <c r="E58" s="2">
        <f>IFERROR(VLOOKUP(C58,'PBI Open Positions'!A:J,4,0),1E-32)</f>
        <v>1.0000000000000001E-32</v>
      </c>
      <c r="F58" s="1">
        <f>IFERROR(VLOOKUP(C58,'PBI Open Positions'!A:J,5,0),VLOOKUP(C58,'Stock Selection'!C:H,6,0))</f>
        <v>30.42</v>
      </c>
      <c r="G58" s="1">
        <f t="shared" si="43"/>
        <v>3.0420000000000005E-31</v>
      </c>
      <c r="H58" s="13">
        <v>0.05</v>
      </c>
      <c r="I58" s="11">
        <v>0.18329999999999999</v>
      </c>
      <c r="J58" s="9">
        <f t="shared" si="44"/>
        <v>0.27277686852154942</v>
      </c>
      <c r="K58" s="9">
        <f t="shared" si="45"/>
        <v>7.0920550058168469E-2</v>
      </c>
      <c r="L58" s="9">
        <f t="shared" si="46"/>
        <v>5.5759860000000011E-32</v>
      </c>
      <c r="M58" s="12">
        <f t="shared" si="47"/>
        <v>31.941000000000003</v>
      </c>
      <c r="N58" s="12">
        <f t="shared" si="48"/>
        <v>3.1941000000000003E-31</v>
      </c>
      <c r="O58" s="12">
        <f>IFERROR(VLOOKUP(C58,'PBI Open Positions'!A:F,6,0),VLOOKUP(Positions!C58,'Stock Selection'!C:H,6,0))</f>
        <v>30.42</v>
      </c>
      <c r="P58" s="12">
        <f t="shared" si="49"/>
        <v>3.0420000000000005E-31</v>
      </c>
      <c r="Q58" s="12">
        <f t="shared" si="50"/>
        <v>0</v>
      </c>
      <c r="R58" s="12">
        <f t="shared" si="51"/>
        <v>26.841965940174713</v>
      </c>
      <c r="S58" s="12">
        <f t="shared" si="52"/>
        <v>1.5210000000000008</v>
      </c>
      <c r="T58" s="12">
        <f t="shared" si="53"/>
        <v>-1.7890170299126442</v>
      </c>
      <c r="U58" s="15">
        <f t="shared" si="54"/>
        <v>-0.26801702991264342</v>
      </c>
      <c r="V58" s="12">
        <f t="shared" si="13"/>
        <v>29.797952567450153</v>
      </c>
      <c r="W58" s="9">
        <f t="shared" si="55"/>
        <v>0</v>
      </c>
      <c r="X58" s="9">
        <f t="shared" si="56"/>
        <v>0.17255604387480461</v>
      </c>
    </row>
    <row r="59" spans="1:24" hidden="1" x14ac:dyDescent="0.25">
      <c r="A59" t="s">
        <v>188</v>
      </c>
      <c r="C59" t="s">
        <v>186</v>
      </c>
      <c r="D59" s="8">
        <f ca="1">IF(ISERROR(VLOOKUP(C59,[1]Sheet1!$C:$C,1,0)),TODAY(),_xlfn.MINIFS([1]Sheet1!$F:$F,[1]Sheet1!$C:$C,C59))</f>
        <v>45833</v>
      </c>
      <c r="E59" s="2">
        <f>IFERROR(VLOOKUP(C59,'PBI Open Positions'!A:J,4,0),1E-32)</f>
        <v>1.0000000000000001E-32</v>
      </c>
      <c r="F59" s="1">
        <f>IFERROR(VLOOKUP(C59,'PBI Open Positions'!A:J,5,0),VLOOKUP(C59,'Stock Selection'!C:H,6,0))</f>
        <v>15.17</v>
      </c>
      <c r="G59" s="1">
        <f t="shared" si="43"/>
        <v>1.5170000000000001E-31</v>
      </c>
      <c r="H59" s="13">
        <v>0.05</v>
      </c>
      <c r="I59" s="11">
        <v>0.18329999999999999</v>
      </c>
      <c r="J59" s="9">
        <f t="shared" si="44"/>
        <v>0.27277686852154942</v>
      </c>
      <c r="K59" s="9">
        <f t="shared" si="45"/>
        <v>7.0920550058168469E-2</v>
      </c>
      <c r="L59" s="9">
        <f t="shared" si="46"/>
        <v>2.7806609999999998E-32</v>
      </c>
      <c r="M59" s="12">
        <f t="shared" si="47"/>
        <v>15.928500000000001</v>
      </c>
      <c r="N59" s="12">
        <f t="shared" si="48"/>
        <v>1.5928500000000002E-31</v>
      </c>
      <c r="O59" s="12">
        <f>IFERROR(VLOOKUP(C59,'PBI Open Positions'!A:F,6,0),VLOOKUP(Positions!C59,'Stock Selection'!C:H,6,0))</f>
        <v>15.17</v>
      </c>
      <c r="P59" s="12">
        <f t="shared" si="49"/>
        <v>1.5170000000000001E-31</v>
      </c>
      <c r="Q59" s="12">
        <f t="shared" si="50"/>
        <v>0</v>
      </c>
      <c r="R59" s="12">
        <f t="shared" si="51"/>
        <v>13.385687814347481</v>
      </c>
      <c r="S59" s="12">
        <f t="shared" si="52"/>
        <v>0.75850000000000151</v>
      </c>
      <c r="T59" s="12">
        <f t="shared" si="53"/>
        <v>-0.89215609282625952</v>
      </c>
      <c r="U59" s="15">
        <f t="shared" si="54"/>
        <v>-0.13365609282625801</v>
      </c>
      <c r="V59" s="12">
        <f t="shared" si="13"/>
        <v>29.663591630363769</v>
      </c>
      <c r="W59" s="9">
        <f t="shared" si="55"/>
        <v>0</v>
      </c>
      <c r="X59" s="9">
        <f t="shared" si="56"/>
        <v>0.17177797727098487</v>
      </c>
    </row>
    <row r="60" spans="1:24" hidden="1" x14ac:dyDescent="0.25">
      <c r="A60" t="s">
        <v>188</v>
      </c>
      <c r="C60" t="s">
        <v>187</v>
      </c>
      <c r="D60" s="8">
        <f ca="1">IF(ISERROR(VLOOKUP(C60,[1]Sheet1!$C:$C,1,0)),TODAY(),_xlfn.MINIFS([1]Sheet1!$F:$F,[1]Sheet1!$C:$C,C60))</f>
        <v>45833</v>
      </c>
      <c r="E60" s="2">
        <f>IFERROR(VLOOKUP(C60,'PBI Open Positions'!A:J,4,0),1E-32)</f>
        <v>1.0000000000000001E-32</v>
      </c>
      <c r="F60" s="1">
        <f>IFERROR(VLOOKUP(C60,'PBI Open Positions'!A:J,5,0),VLOOKUP(C60,'Stock Selection'!C:H,6,0))</f>
        <v>33.950000000000003</v>
      </c>
      <c r="G60" s="1">
        <f t="shared" si="43"/>
        <v>3.3950000000000004E-31</v>
      </c>
      <c r="H60" s="13">
        <v>0.05</v>
      </c>
      <c r="I60" s="11">
        <v>0.18329999999999999</v>
      </c>
      <c r="J60" s="9">
        <f t="shared" si="44"/>
        <v>0.27277686852154942</v>
      </c>
      <c r="K60" s="9">
        <f t="shared" si="45"/>
        <v>7.0920550058168469E-2</v>
      </c>
      <c r="L60" s="9">
        <f t="shared" si="46"/>
        <v>6.2230350000000009E-32</v>
      </c>
      <c r="M60" s="12">
        <f t="shared" si="47"/>
        <v>35.647500000000008</v>
      </c>
      <c r="N60" s="12">
        <f t="shared" si="48"/>
        <v>3.564750000000001E-31</v>
      </c>
      <c r="O60" s="12">
        <f>IFERROR(VLOOKUP(C60,'PBI Open Positions'!A:F,6,0),VLOOKUP(Positions!C60,'Stock Selection'!C:H,6,0))</f>
        <v>33.950000000000003</v>
      </c>
      <c r="P60" s="12">
        <f t="shared" si="49"/>
        <v>3.3950000000000004E-31</v>
      </c>
      <c r="Q60" s="12">
        <f t="shared" si="50"/>
        <v>0</v>
      </c>
      <c r="R60" s="12">
        <f t="shared" si="51"/>
        <v>29.956763434218658</v>
      </c>
      <c r="S60" s="12">
        <f t="shared" si="52"/>
        <v>1.6975000000000051</v>
      </c>
      <c r="T60" s="12">
        <f t="shared" si="53"/>
        <v>-1.9966182828906724</v>
      </c>
      <c r="U60" s="15">
        <f t="shared" si="54"/>
        <v>-0.29911828289066733</v>
      </c>
      <c r="V60" s="12">
        <f t="shared" si="13"/>
        <v>29.829053820428179</v>
      </c>
      <c r="W60" s="9">
        <f t="shared" si="55"/>
        <v>0</v>
      </c>
      <c r="X60" s="9">
        <f t="shared" si="56"/>
        <v>0.17273614716080354</v>
      </c>
    </row>
    <row r="61" spans="1:24" hidden="1" x14ac:dyDescent="0.25">
      <c r="A61" t="s">
        <v>188</v>
      </c>
      <c r="C61" t="s">
        <v>206</v>
      </c>
      <c r="D61" s="8">
        <f ca="1">IF(ISERROR(VLOOKUP(C61,[1]Sheet1!$C:$C,1,0)),TODAY(),_xlfn.MINIFS([1]Sheet1!$F:$F,[1]Sheet1!$C:$C,C61))</f>
        <v>45833</v>
      </c>
      <c r="E61" s="2">
        <f>IFERROR(VLOOKUP(C61,'PBI Open Positions'!A:J,4,0),1E-32)</f>
        <v>1.0000000000000001E-32</v>
      </c>
      <c r="F61" s="1">
        <f>IFERROR(VLOOKUP(C61,'PBI Open Positions'!A:J,5,0),VLOOKUP(C61,'Stock Selection'!C:H,6,0))</f>
        <v>73.260000000000005</v>
      </c>
      <c r="G61" s="1">
        <f t="shared" si="43"/>
        <v>7.3260000000000012E-31</v>
      </c>
      <c r="H61" s="13">
        <v>0.05</v>
      </c>
      <c r="I61" s="11">
        <v>0.18329999999999999</v>
      </c>
      <c r="J61" s="9">
        <f t="shared" si="44"/>
        <v>0.27277686852154942</v>
      </c>
      <c r="K61" s="9">
        <f t="shared" si="45"/>
        <v>7.0920550058168469E-2</v>
      </c>
      <c r="L61" s="9">
        <f t="shared" si="46"/>
        <v>1.3428558000000002E-31</v>
      </c>
      <c r="M61" s="12">
        <f t="shared" si="47"/>
        <v>76.923000000000002</v>
      </c>
      <c r="N61" s="12">
        <f t="shared" si="48"/>
        <v>7.6923000000000007E-31</v>
      </c>
      <c r="O61" s="12">
        <f>IFERROR(VLOOKUP(C61,'PBI Open Positions'!A:F,6,0),VLOOKUP(Positions!C61,'Stock Selection'!C:H,6,0))</f>
        <v>73.260000000000005</v>
      </c>
      <c r="P61" s="12">
        <f t="shared" si="49"/>
        <v>7.3260000000000012E-31</v>
      </c>
      <c r="Q61" s="12">
        <f t="shared" si="50"/>
        <v>0</v>
      </c>
      <c r="R61" s="12">
        <f t="shared" si="51"/>
        <v>64.643077737580526</v>
      </c>
      <c r="S61" s="12">
        <f t="shared" si="52"/>
        <v>3.6629999999999967</v>
      </c>
      <c r="T61" s="12">
        <f t="shared" si="53"/>
        <v>-4.3084611312097394</v>
      </c>
      <c r="U61" s="15">
        <f t="shared" si="54"/>
        <v>-0.64546113120974269</v>
      </c>
      <c r="V61" s="12">
        <f t="shared" si="13"/>
        <v>30.175396668747254</v>
      </c>
      <c r="W61" s="9">
        <f t="shared" si="55"/>
        <v>0</v>
      </c>
      <c r="X61" s="9">
        <f t="shared" si="56"/>
        <v>0.17474177327202683</v>
      </c>
    </row>
    <row r="62" spans="1:24" x14ac:dyDescent="0.25">
      <c r="A62" t="s">
        <v>171</v>
      </c>
      <c r="C62" t="s">
        <v>225</v>
      </c>
      <c r="D62" s="8">
        <f ca="1">IF(ISERROR(VLOOKUP(C62,[1]Sheet1!$C:$C,1,0)),TODAY(),_xlfn.MINIFS([1]Sheet1!$F:$F,[1]Sheet1!$C:$C,C62))</f>
        <v>45818.908350717589</v>
      </c>
      <c r="E62" s="2">
        <f>IFERROR(VLOOKUP(C62,'PBI Open Positions'!A:J,4,0),1E-32)</f>
        <v>9.2299999999999993E-2</v>
      </c>
      <c r="F62" s="1">
        <f>IFERROR(VLOOKUP(C62,'PBI Open Positions'!A:J,5,0),VLOOKUP(C62,'Stock Selection'!C:H,6,0))</f>
        <v>216.58</v>
      </c>
      <c r="G62" s="1">
        <f t="shared" ref="G62:G63" si="57">E62*F62</f>
        <v>19.990334000000001</v>
      </c>
      <c r="H62" s="13">
        <v>0.05</v>
      </c>
      <c r="I62" s="11">
        <v>0.18329999999999999</v>
      </c>
      <c r="J62" s="9">
        <f t="shared" ref="J62:J63" si="58">IFERROR(H62/I62,"")</f>
        <v>0.27277686852154942</v>
      </c>
      <c r="K62" s="9">
        <f t="shared" ref="K62:K63" si="59">IFERROR(J62/SUBTOTAL(9,$J$2:$J$1048576),"")</f>
        <v>7.0920550058168469E-2</v>
      </c>
      <c r="L62" s="9">
        <f t="shared" ref="L62:L63" si="60">I62*G62</f>
        <v>3.6642282221999998</v>
      </c>
      <c r="M62" s="12">
        <f t="shared" ref="M62:M63" si="61">F62/(1-(F62*(1+H62)-F62)/(F62*(1+H62)))</f>
        <v>227.40900000000002</v>
      </c>
      <c r="N62" s="12">
        <f t="shared" ref="N62:N63" si="62">M62*E62</f>
        <v>20.989850700000002</v>
      </c>
      <c r="O62" s="12">
        <f>IFERROR(VLOOKUP(C62,'PBI Open Positions'!A:F,6,0),VLOOKUP(Positions!C62,'Stock Selection'!C:H,6,0))</f>
        <v>217.12</v>
      </c>
      <c r="P62" s="12">
        <f t="shared" ref="P62:P63" si="63">IFERROR(O62*E62,G62)</f>
        <v>20.040175999999999</v>
      </c>
      <c r="Q62" s="12">
        <f t="shared" ref="Q62:Q63" si="64">P62-G62</f>
        <v>4.9841999999998166E-2</v>
      </c>
      <c r="R62" s="12">
        <f t="shared" ref="R62:R63" si="65">F62/(1+I62-H62)</f>
        <v>191.10562075355159</v>
      </c>
      <c r="S62" s="12">
        <f t="shared" ref="S62:S63" si="66">M62-F62</f>
        <v>10.829000000000008</v>
      </c>
      <c r="T62" s="12">
        <f t="shared" ref="T62:T63" si="67">0.5*(R62-F62)</f>
        <v>-12.737189623224211</v>
      </c>
      <c r="U62" s="15">
        <f t="shared" ref="U62:U63" si="68">S62+T62</f>
        <v>-1.908189623224203</v>
      </c>
      <c r="V62" s="12">
        <f t="shared" si="13"/>
        <v>31.438125160761714</v>
      </c>
      <c r="W62" s="9">
        <f t="shared" ref="W62:W63" si="69">IFERROR((SUBTOTAL(109,$V$2:$V$1048576)/V62)/SUBTOTAL(109,$V$2:$V$1048576),0)</f>
        <v>0</v>
      </c>
      <c r="X62" s="9">
        <f t="shared" ref="X62:X63" si="70">V62/MAX($V$2:$V$28)</f>
        <v>0.18205406872510527</v>
      </c>
    </row>
    <row r="63" spans="1:24" x14ac:dyDescent="0.25">
      <c r="A63" t="s">
        <v>171</v>
      </c>
      <c r="C63" t="s">
        <v>226</v>
      </c>
      <c r="D63" s="8">
        <f ca="1">IF(ISERROR(VLOOKUP(C63,[1]Sheet1!$C:$C,1,0)),TODAY(),_xlfn.MINIFS([1]Sheet1!$F:$F,[1]Sheet1!$C:$C,C63))</f>
        <v>45818.90866184028</v>
      </c>
      <c r="E63" s="2">
        <f>IFERROR(VLOOKUP(C63,'PBI Open Positions'!A:J,4,0),1E-32)</f>
        <v>0.12839999999999999</v>
      </c>
      <c r="F63" s="1">
        <f>IFERROR(VLOOKUP(C63,'PBI Open Positions'!A:J,5,0),VLOOKUP(C63,'Stock Selection'!C:H,6,0))</f>
        <v>77.959999999999994</v>
      </c>
      <c r="G63" s="1">
        <f t="shared" si="57"/>
        <v>10.010063999999998</v>
      </c>
      <c r="H63" s="13">
        <v>0.05</v>
      </c>
      <c r="I63" s="11">
        <v>0.18329999999999999</v>
      </c>
      <c r="J63" s="9">
        <f t="shared" si="58"/>
        <v>0.27277686852154942</v>
      </c>
      <c r="K63" s="9">
        <f t="shared" si="59"/>
        <v>7.0920550058168469E-2</v>
      </c>
      <c r="L63" s="9">
        <f t="shared" si="60"/>
        <v>1.8348447311999996</v>
      </c>
      <c r="M63" s="12">
        <f t="shared" si="61"/>
        <v>81.85799999999999</v>
      </c>
      <c r="N63" s="12">
        <f t="shared" si="62"/>
        <v>10.510567199999997</v>
      </c>
      <c r="O63" s="12">
        <f>IFERROR(VLOOKUP(C63,'PBI Open Positions'!A:F,6,0),VLOOKUP(Positions!C63,'Stock Selection'!C:H,6,0))</f>
        <v>81.150000000000006</v>
      </c>
      <c r="P63" s="12">
        <f t="shared" si="63"/>
        <v>10.41966</v>
      </c>
      <c r="Q63" s="12">
        <f t="shared" si="64"/>
        <v>0.40959600000000229</v>
      </c>
      <c r="R63" s="12">
        <f t="shared" si="65"/>
        <v>68.790258537015788</v>
      </c>
      <c r="S63" s="12">
        <f t="shared" si="66"/>
        <v>3.8979999999999961</v>
      </c>
      <c r="T63" s="12">
        <f t="shared" si="67"/>
        <v>-4.5848707314921029</v>
      </c>
      <c r="U63" s="15">
        <f t="shared" si="68"/>
        <v>-0.68687073149210676</v>
      </c>
      <c r="V63" s="12">
        <f t="shared" si="13"/>
        <v>30.216806269029618</v>
      </c>
      <c r="W63" s="9">
        <f t="shared" si="69"/>
        <v>0</v>
      </c>
      <c r="X63" s="9">
        <f t="shared" si="70"/>
        <v>0.17498157084828606</v>
      </c>
    </row>
  </sheetData>
  <autoFilter ref="A1:X63" xr:uid="{00000000-0001-0000-0000-000000000000}">
    <filterColumn colId="0">
      <filters>
        <filter val="Financial Services"/>
      </filters>
    </filterColumn>
  </autoFilter>
  <conditionalFormatting sqref="W2:W44">
    <cfRule type="iconSet" priority="23">
      <iconSet iconSet="3Symbols">
        <cfvo type="percent" val="0"/>
        <cfvo type="percent" val="33"/>
        <cfvo type="percent" val="67"/>
      </iconSet>
    </cfRule>
  </conditionalFormatting>
  <conditionalFormatting sqref="W46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W47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W48:W63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" id="{2048185B-3E19-4351-A3A9-6DB74B32B9C2}">
            <x14:iconSet iconSet="5Arrows" custom="1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  <x14:cfIcon iconSet="3Arrows" iconId="2"/>
              <x14:cfIcon iconSet="4Arrows" iconId="2"/>
              <x14:cfIcon iconSet="3Arrows" iconId="1"/>
              <x14:cfIcon iconSet="4Arrows" iconId="1"/>
              <x14:cfIcon iconSet="3Arrows" iconId="0"/>
            </x14:iconSet>
          </x14:cfRule>
          <xm:sqref>X2:X44</xm:sqref>
        </x14:conditionalFormatting>
        <x14:conditionalFormatting xmlns:xm="http://schemas.microsoft.com/office/excel/2006/main">
          <x14:cfRule type="iconSet" priority="6" id="{412D5546-B893-48A5-8CC5-7082D8A5B855}">
            <x14:iconSet iconSet="5Arrows" custom="1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  <x14:cfIcon iconSet="3Arrows" iconId="2"/>
              <x14:cfIcon iconSet="4Arrows" iconId="2"/>
              <x14:cfIcon iconSet="3Arrows" iconId="1"/>
              <x14:cfIcon iconSet="4Arrows" iconId="1"/>
              <x14:cfIcon iconSet="3Arrows" iconId="0"/>
            </x14:iconSet>
          </x14:cfRule>
          <xm:sqref>X46</xm:sqref>
        </x14:conditionalFormatting>
        <x14:conditionalFormatting xmlns:xm="http://schemas.microsoft.com/office/excel/2006/main">
          <x14:cfRule type="iconSet" priority="4" id="{74086D8A-4E6B-4522-A48C-DC00AF468D70}">
            <x14:iconSet iconSet="5Arrows" custom="1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  <x14:cfIcon iconSet="3Arrows" iconId="2"/>
              <x14:cfIcon iconSet="4Arrows" iconId="2"/>
              <x14:cfIcon iconSet="3Arrows" iconId="1"/>
              <x14:cfIcon iconSet="4Arrows" iconId="1"/>
              <x14:cfIcon iconSet="3Arrows" iconId="0"/>
            </x14:iconSet>
          </x14:cfRule>
          <xm:sqref>X47</xm:sqref>
        </x14:conditionalFormatting>
        <x14:conditionalFormatting xmlns:xm="http://schemas.microsoft.com/office/excel/2006/main">
          <x14:cfRule type="iconSet" priority="2" id="{4C889431-3F74-488C-8853-438331DE08F5}">
            <x14:iconSet iconSet="5Arrows" custom="1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  <x14:cfIcon iconSet="3Arrows" iconId="2"/>
              <x14:cfIcon iconSet="4Arrows" iconId="2"/>
              <x14:cfIcon iconSet="3Arrows" iconId="1"/>
              <x14:cfIcon iconSet="4Arrows" iconId="1"/>
              <x14:cfIcon iconSet="3Arrows" iconId="0"/>
            </x14:iconSet>
          </x14:cfRule>
          <xm:sqref>X48:X63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0F30-D40D-4938-AFB7-A4C907DF9CA9}">
  <dimension ref="A1:J30"/>
  <sheetViews>
    <sheetView workbookViewId="0">
      <selection activeCell="A31" sqref="A31:A61"/>
    </sheetView>
  </sheetViews>
  <sheetFormatPr defaultRowHeight="15" x14ac:dyDescent="0.25"/>
  <cols>
    <col min="1" max="1" width="9.28515625" bestFit="1" customWidth="1"/>
    <col min="2" max="2" width="11.140625" bestFit="1" customWidth="1"/>
    <col min="3" max="3" width="7.5703125" bestFit="1" customWidth="1"/>
    <col min="4" max="4" width="8" bestFit="1" customWidth="1"/>
    <col min="5" max="5" width="10.7109375" bestFit="1" customWidth="1"/>
    <col min="6" max="6" width="12.140625" bestFit="1" customWidth="1"/>
    <col min="7" max="7" width="12.85546875" bestFit="1" customWidth="1"/>
    <col min="8" max="8" width="16" bestFit="1" customWidth="1"/>
    <col min="9" max="9" width="7.85546875" bestFit="1" customWidth="1"/>
  </cols>
  <sheetData>
    <row r="1" spans="1:10" x14ac:dyDescent="0.25">
      <c r="A1" t="s">
        <v>80</v>
      </c>
      <c r="B1" t="s">
        <v>189</v>
      </c>
      <c r="C1" t="s">
        <v>190</v>
      </c>
      <c r="D1" t="s">
        <v>2</v>
      </c>
      <c r="E1" t="s">
        <v>191</v>
      </c>
      <c r="F1" t="s">
        <v>192</v>
      </c>
      <c r="G1" t="s">
        <v>193</v>
      </c>
      <c r="H1" t="s">
        <v>194</v>
      </c>
      <c r="I1" t="s">
        <v>195</v>
      </c>
      <c r="J1" t="s">
        <v>61</v>
      </c>
    </row>
    <row r="2" spans="1:10" x14ac:dyDescent="0.25">
      <c r="A2" t="s">
        <v>165</v>
      </c>
      <c r="B2" s="67">
        <v>182.42</v>
      </c>
      <c r="C2" s="22">
        <v>0.1</v>
      </c>
      <c r="D2">
        <v>4</v>
      </c>
      <c r="E2" s="67">
        <v>45.61</v>
      </c>
      <c r="F2" s="67">
        <v>49.01</v>
      </c>
      <c r="G2" s="67">
        <v>196.04</v>
      </c>
      <c r="H2" s="67">
        <v>13.62</v>
      </c>
      <c r="I2" s="29">
        <v>7.4700000000000003E-2</v>
      </c>
      <c r="J2" s="22">
        <v>0.19</v>
      </c>
    </row>
    <row r="3" spans="1:10" x14ac:dyDescent="0.25">
      <c r="A3" t="s">
        <v>164</v>
      </c>
      <c r="B3" s="67">
        <v>147</v>
      </c>
      <c r="C3" s="22">
        <v>0.08</v>
      </c>
      <c r="D3">
        <v>2</v>
      </c>
      <c r="E3" s="67">
        <v>73.5</v>
      </c>
      <c r="F3" s="67">
        <v>73.28</v>
      </c>
      <c r="G3" s="67">
        <v>146.56</v>
      </c>
      <c r="H3" s="67">
        <v>-0.44</v>
      </c>
      <c r="I3" s="29">
        <v>-3.0000000000000001E-3</v>
      </c>
      <c r="J3" s="22">
        <v>0.05</v>
      </c>
    </row>
    <row r="4" spans="1:10" x14ac:dyDescent="0.25">
      <c r="A4" t="s">
        <v>92</v>
      </c>
      <c r="B4" s="67">
        <v>129.96</v>
      </c>
      <c r="C4" s="22">
        <v>7.0000000000000007E-2</v>
      </c>
      <c r="D4">
        <v>6.8598999999999997</v>
      </c>
      <c r="E4" s="67">
        <v>18.940000000000001</v>
      </c>
      <c r="F4" s="67">
        <v>18.170000000000002</v>
      </c>
      <c r="G4" s="67">
        <v>124.64</v>
      </c>
      <c r="H4" s="67">
        <v>-5.32</v>
      </c>
      <c r="I4" s="29">
        <v>-4.0899999999999999E-2</v>
      </c>
      <c r="J4" s="22">
        <v>0.52</v>
      </c>
    </row>
    <row r="5" spans="1:10" x14ac:dyDescent="0.25">
      <c r="A5" t="s">
        <v>5</v>
      </c>
      <c r="B5" s="67">
        <v>129.74</v>
      </c>
      <c r="C5" s="22">
        <v>7.0000000000000007E-2</v>
      </c>
      <c r="D5">
        <v>2.3938999999999999</v>
      </c>
      <c r="E5" s="67">
        <v>54.2</v>
      </c>
      <c r="F5" s="67">
        <v>59.93</v>
      </c>
      <c r="G5" s="67">
        <v>143.46</v>
      </c>
      <c r="H5" s="67">
        <v>13.72</v>
      </c>
      <c r="I5" s="29">
        <v>0.1057</v>
      </c>
      <c r="J5" s="22">
        <v>0.19</v>
      </c>
    </row>
    <row r="6" spans="1:10" x14ac:dyDescent="0.25">
      <c r="A6" t="s">
        <v>96</v>
      </c>
      <c r="B6" s="67">
        <v>126.28</v>
      </c>
      <c r="C6" s="22">
        <v>7.0000000000000007E-2</v>
      </c>
      <c r="D6">
        <v>6</v>
      </c>
      <c r="E6" s="67">
        <v>21.05</v>
      </c>
      <c r="F6" s="67">
        <v>21.68</v>
      </c>
      <c r="G6" s="67">
        <v>130.08000000000001</v>
      </c>
      <c r="H6" s="67">
        <v>3.8</v>
      </c>
      <c r="I6" s="29">
        <v>3.0099999999999998E-2</v>
      </c>
      <c r="J6" s="22">
        <v>0.25</v>
      </c>
    </row>
    <row r="7" spans="1:10" x14ac:dyDescent="0.25">
      <c r="A7" t="s">
        <v>16</v>
      </c>
      <c r="B7" s="67">
        <v>119</v>
      </c>
      <c r="C7" s="22">
        <v>7.0000000000000007E-2</v>
      </c>
      <c r="D7">
        <v>0.8085</v>
      </c>
      <c r="E7" s="67">
        <v>147.19</v>
      </c>
      <c r="F7" s="67">
        <v>131.08000000000001</v>
      </c>
      <c r="G7" s="67">
        <v>105.98</v>
      </c>
      <c r="H7" s="67">
        <v>-13.02</v>
      </c>
      <c r="I7" s="29">
        <v>-0.1094</v>
      </c>
      <c r="J7" s="22">
        <v>0.2</v>
      </c>
    </row>
    <row r="8" spans="1:10" x14ac:dyDescent="0.25">
      <c r="A8" t="s">
        <v>198</v>
      </c>
      <c r="B8" s="67">
        <v>89.99</v>
      </c>
      <c r="C8" s="22">
        <v>0.05</v>
      </c>
      <c r="D8">
        <v>6.0331999999999999</v>
      </c>
      <c r="E8" s="67">
        <v>14.92</v>
      </c>
      <c r="F8" s="67">
        <v>15.14</v>
      </c>
      <c r="G8" s="67">
        <v>91.33</v>
      </c>
      <c r="H8" s="67">
        <v>1.34</v>
      </c>
      <c r="I8" s="29">
        <v>1.49E-2</v>
      </c>
      <c r="J8" s="22">
        <v>0.3</v>
      </c>
    </row>
    <row r="9" spans="1:10" x14ac:dyDescent="0.25">
      <c r="A9" t="s">
        <v>101</v>
      </c>
      <c r="B9" s="67">
        <v>89.97</v>
      </c>
      <c r="C9" s="22">
        <v>0.05</v>
      </c>
      <c r="D9">
        <v>2.4948000000000001</v>
      </c>
      <c r="E9" s="67">
        <v>36.06</v>
      </c>
      <c r="F9" s="67">
        <v>34.369999999999997</v>
      </c>
      <c r="G9" s="67">
        <v>85.74</v>
      </c>
      <c r="H9" s="67">
        <v>-4.2300000000000004</v>
      </c>
      <c r="I9" s="29">
        <v>-4.7E-2</v>
      </c>
      <c r="J9" s="22">
        <v>0.48</v>
      </c>
    </row>
    <row r="10" spans="1:10" x14ac:dyDescent="0.25">
      <c r="A10" t="s">
        <v>22</v>
      </c>
      <c r="B10" s="67">
        <v>89.04</v>
      </c>
      <c r="C10" s="22">
        <v>0.05</v>
      </c>
      <c r="D10">
        <v>0.55469999999999997</v>
      </c>
      <c r="E10" s="67">
        <v>160.52000000000001</v>
      </c>
      <c r="F10" s="67">
        <v>220.05</v>
      </c>
      <c r="G10" s="67">
        <v>122.06</v>
      </c>
      <c r="H10" s="67">
        <v>33.020000000000003</v>
      </c>
      <c r="I10" s="29">
        <v>0.37080000000000002</v>
      </c>
      <c r="J10" s="22">
        <v>0.46</v>
      </c>
    </row>
    <row r="11" spans="1:10" x14ac:dyDescent="0.25">
      <c r="A11" t="s">
        <v>84</v>
      </c>
      <c r="B11" s="67">
        <v>85.63</v>
      </c>
      <c r="C11" s="22">
        <v>0.05</v>
      </c>
      <c r="D11">
        <v>4.8753000000000002</v>
      </c>
      <c r="E11" s="67">
        <v>17.559999999999999</v>
      </c>
      <c r="F11" s="67">
        <v>21.35</v>
      </c>
      <c r="G11" s="67">
        <v>104.08</v>
      </c>
      <c r="H11" s="67">
        <v>18.45</v>
      </c>
      <c r="I11" s="29">
        <v>0.2155</v>
      </c>
      <c r="J11" s="22">
        <v>0.27</v>
      </c>
    </row>
    <row r="12" spans="1:10" x14ac:dyDescent="0.25">
      <c r="A12" t="s">
        <v>166</v>
      </c>
      <c r="B12" s="67">
        <v>80</v>
      </c>
      <c r="C12" s="22">
        <v>0.04</v>
      </c>
      <c r="D12">
        <v>4.8087</v>
      </c>
      <c r="E12" s="67">
        <v>16.64</v>
      </c>
      <c r="F12" s="67">
        <v>18.25</v>
      </c>
      <c r="G12" s="67">
        <v>87.76</v>
      </c>
      <c r="H12" s="67">
        <v>7.76</v>
      </c>
      <c r="I12" s="29">
        <v>9.7000000000000003E-2</v>
      </c>
      <c r="J12" s="22">
        <v>0.36</v>
      </c>
    </row>
    <row r="13" spans="1:10" x14ac:dyDescent="0.25">
      <c r="A13" t="s">
        <v>27</v>
      </c>
      <c r="B13" s="67">
        <v>69.98</v>
      </c>
      <c r="C13" s="22">
        <v>0.04</v>
      </c>
      <c r="D13">
        <v>0.96689999999999998</v>
      </c>
      <c r="E13" s="67">
        <v>72.38</v>
      </c>
      <c r="F13" s="67">
        <v>71.42</v>
      </c>
      <c r="G13" s="67">
        <v>69.06</v>
      </c>
      <c r="H13" s="67">
        <v>-0.92</v>
      </c>
      <c r="I13" s="29">
        <v>-1.3100000000000001E-2</v>
      </c>
      <c r="J13" s="22">
        <v>0.28999999999999998</v>
      </c>
    </row>
    <row r="14" spans="1:10" x14ac:dyDescent="0.25">
      <c r="A14" t="s">
        <v>46</v>
      </c>
      <c r="B14" s="67">
        <v>68.3</v>
      </c>
      <c r="C14" s="22">
        <v>0.04</v>
      </c>
      <c r="D14">
        <v>0.497</v>
      </c>
      <c r="E14" s="67">
        <v>137.41999999999999</v>
      </c>
      <c r="F14" s="67">
        <v>150.54</v>
      </c>
      <c r="G14" s="67">
        <v>74.819999999999993</v>
      </c>
      <c r="H14" s="67">
        <v>6.52</v>
      </c>
      <c r="I14" s="29">
        <v>9.5500000000000002E-2</v>
      </c>
      <c r="J14" s="22">
        <v>0.63</v>
      </c>
    </row>
    <row r="15" spans="1:10" x14ac:dyDescent="0.25">
      <c r="A15" t="s">
        <v>180</v>
      </c>
      <c r="B15" s="67">
        <v>64.989999999999995</v>
      </c>
      <c r="C15" s="22">
        <v>0.04</v>
      </c>
      <c r="D15">
        <v>1.5439000000000001</v>
      </c>
      <c r="E15" s="67">
        <v>42.09</v>
      </c>
      <c r="F15" s="67">
        <v>44.92</v>
      </c>
      <c r="G15" s="67">
        <v>69.349999999999994</v>
      </c>
      <c r="H15" s="67">
        <v>4.3600000000000003</v>
      </c>
      <c r="I15" s="29">
        <v>6.7100000000000007E-2</v>
      </c>
      <c r="J15" s="22">
        <v>0.32</v>
      </c>
    </row>
    <row r="16" spans="1:10" x14ac:dyDescent="0.25">
      <c r="A16" t="s">
        <v>20</v>
      </c>
      <c r="B16" s="67">
        <v>64.39</v>
      </c>
      <c r="C16" s="22">
        <v>0.04</v>
      </c>
      <c r="D16">
        <v>0.47739999999999999</v>
      </c>
      <c r="E16" s="67">
        <v>134.88</v>
      </c>
      <c r="F16" s="67">
        <v>129.91</v>
      </c>
      <c r="G16" s="67">
        <v>62.02</v>
      </c>
      <c r="H16" s="67">
        <v>-2.37</v>
      </c>
      <c r="I16" s="29">
        <v>-3.6799999999999999E-2</v>
      </c>
      <c r="J16" s="22">
        <v>0.19</v>
      </c>
    </row>
    <row r="17" spans="1:10" x14ac:dyDescent="0.25">
      <c r="A17" t="s">
        <v>43</v>
      </c>
      <c r="B17" s="67">
        <v>45.99</v>
      </c>
      <c r="C17" s="22">
        <v>0.03</v>
      </c>
      <c r="D17">
        <v>0.34860000000000002</v>
      </c>
      <c r="E17" s="67">
        <v>131.93</v>
      </c>
      <c r="F17" s="67">
        <v>137.46</v>
      </c>
      <c r="G17" s="67">
        <v>47.92</v>
      </c>
      <c r="H17" s="67">
        <v>1.93</v>
      </c>
      <c r="I17" s="29">
        <v>4.2000000000000003E-2</v>
      </c>
      <c r="J17" s="22">
        <v>0.26</v>
      </c>
    </row>
    <row r="18" spans="1:10" x14ac:dyDescent="0.25">
      <c r="A18" t="s">
        <v>196</v>
      </c>
      <c r="B18" s="67">
        <v>41.85</v>
      </c>
      <c r="C18" s="22">
        <v>0.02</v>
      </c>
      <c r="D18">
        <v>2</v>
      </c>
      <c r="E18" s="67">
        <v>20.93</v>
      </c>
      <c r="F18" s="67">
        <v>20.58</v>
      </c>
      <c r="G18" s="67">
        <v>41.16</v>
      </c>
      <c r="H18" s="67">
        <v>-0.69</v>
      </c>
      <c r="I18" s="29">
        <v>-1.6500000000000001E-2</v>
      </c>
      <c r="J18" s="22">
        <v>0.26</v>
      </c>
    </row>
    <row r="19" spans="1:10" x14ac:dyDescent="0.25">
      <c r="A19" t="s">
        <v>28</v>
      </c>
      <c r="B19" s="67">
        <v>40.46</v>
      </c>
      <c r="C19" s="22">
        <v>0.02</v>
      </c>
      <c r="D19">
        <v>7.8100000000000003E-2</v>
      </c>
      <c r="E19" s="67">
        <v>518.04999999999995</v>
      </c>
      <c r="F19" s="67">
        <v>556.34</v>
      </c>
      <c r="G19" s="67">
        <v>43.45</v>
      </c>
      <c r="H19" s="67">
        <v>2.99</v>
      </c>
      <c r="I19" s="29">
        <v>7.3899999999999993E-2</v>
      </c>
      <c r="J19" s="22">
        <v>0.23</v>
      </c>
    </row>
    <row r="20" spans="1:10" x14ac:dyDescent="0.25">
      <c r="A20" t="s">
        <v>59</v>
      </c>
      <c r="B20" s="67">
        <v>35.03</v>
      </c>
      <c r="C20" s="22">
        <v>0.02</v>
      </c>
      <c r="D20">
        <v>0.2482</v>
      </c>
      <c r="E20" s="67">
        <v>141.13999999999999</v>
      </c>
      <c r="F20" s="67">
        <v>142.63</v>
      </c>
      <c r="G20" s="67">
        <v>35.4</v>
      </c>
      <c r="H20" s="67">
        <v>0.37</v>
      </c>
      <c r="I20" s="29">
        <v>1.06E-2</v>
      </c>
      <c r="J20" s="22">
        <v>0.22</v>
      </c>
    </row>
    <row r="21" spans="1:10" x14ac:dyDescent="0.25">
      <c r="A21" t="s">
        <v>197</v>
      </c>
      <c r="B21" s="67">
        <v>35.01</v>
      </c>
      <c r="C21" s="22">
        <v>0.02</v>
      </c>
      <c r="D21">
        <v>2</v>
      </c>
      <c r="E21" s="67">
        <v>17.510000000000002</v>
      </c>
      <c r="F21" s="67">
        <v>17.559999999999999</v>
      </c>
      <c r="G21" s="67">
        <v>35.119999999999997</v>
      </c>
      <c r="H21" s="67">
        <v>0.11</v>
      </c>
      <c r="I21" s="29">
        <v>3.0999999999999999E-3</v>
      </c>
      <c r="J21" s="22">
        <v>0.26</v>
      </c>
    </row>
    <row r="22" spans="1:10" x14ac:dyDescent="0.25">
      <c r="A22" t="s">
        <v>89</v>
      </c>
      <c r="B22" s="67">
        <v>30</v>
      </c>
      <c r="C22" s="22">
        <v>0.02</v>
      </c>
      <c r="D22">
        <v>0.69510000000000005</v>
      </c>
      <c r="E22" s="67">
        <v>43.16</v>
      </c>
      <c r="F22" s="67">
        <v>43.09</v>
      </c>
      <c r="G22" s="67">
        <v>29.95</v>
      </c>
      <c r="H22" s="67">
        <v>-0.05</v>
      </c>
      <c r="I22" s="29">
        <v>-1.6999999999999999E-3</v>
      </c>
      <c r="J22" s="22">
        <v>0.19</v>
      </c>
    </row>
    <row r="23" spans="1:10" x14ac:dyDescent="0.25">
      <c r="A23" t="s">
        <v>25</v>
      </c>
      <c r="B23" s="67">
        <v>21.2</v>
      </c>
      <c r="C23" s="22">
        <v>0.01</v>
      </c>
      <c r="D23">
        <v>6.2399999999999997E-2</v>
      </c>
      <c r="E23" s="67">
        <v>339.74</v>
      </c>
      <c r="F23" s="67">
        <v>351.6</v>
      </c>
      <c r="G23" s="67">
        <v>21.94</v>
      </c>
      <c r="H23" s="67">
        <v>0.74</v>
      </c>
      <c r="I23" s="29">
        <v>3.49E-2</v>
      </c>
      <c r="J23" s="22">
        <v>0.23</v>
      </c>
    </row>
    <row r="24" spans="1:10" x14ac:dyDescent="0.25">
      <c r="A24" t="s">
        <v>225</v>
      </c>
      <c r="B24" s="67">
        <v>19.989999999999998</v>
      </c>
      <c r="C24" s="22">
        <v>0.01</v>
      </c>
      <c r="D24">
        <v>9.2299999999999993E-2</v>
      </c>
      <c r="E24" s="67">
        <v>216.58</v>
      </c>
      <c r="F24" s="67">
        <v>217.12</v>
      </c>
      <c r="G24" s="67">
        <v>20.04</v>
      </c>
      <c r="H24" s="67">
        <v>0.05</v>
      </c>
      <c r="I24" s="29">
        <v>2.5000000000000001E-3</v>
      </c>
      <c r="J24" s="22">
        <v>0.25</v>
      </c>
    </row>
    <row r="25" spans="1:10" x14ac:dyDescent="0.25">
      <c r="A25" t="s">
        <v>226</v>
      </c>
      <c r="B25" s="67">
        <v>10.01</v>
      </c>
      <c r="C25" s="22">
        <v>0.01</v>
      </c>
      <c r="D25">
        <v>0.12839999999999999</v>
      </c>
      <c r="E25" s="67">
        <v>77.959999999999994</v>
      </c>
      <c r="F25" s="67">
        <v>81.150000000000006</v>
      </c>
      <c r="G25" s="67">
        <v>10.42</v>
      </c>
      <c r="H25" s="67">
        <v>0.41</v>
      </c>
      <c r="I25" s="29">
        <v>4.1000000000000002E-2</v>
      </c>
      <c r="J25" s="22">
        <v>0.34</v>
      </c>
    </row>
    <row r="26" spans="1:10" x14ac:dyDescent="0.25">
      <c r="A26" t="s">
        <v>17</v>
      </c>
      <c r="B26" s="67">
        <v>4.53</v>
      </c>
      <c r="C26" s="22">
        <v>0</v>
      </c>
      <c r="D26">
        <v>2.8199999999999999E-2</v>
      </c>
      <c r="E26" s="67">
        <v>160.63999999999999</v>
      </c>
      <c r="F26" s="67">
        <v>166.67</v>
      </c>
      <c r="G26" s="67">
        <v>4.7</v>
      </c>
      <c r="H26" s="67">
        <v>0.17</v>
      </c>
      <c r="I26" s="29">
        <v>3.7499999999999999E-2</v>
      </c>
      <c r="J26" s="22">
        <v>0.32</v>
      </c>
    </row>
    <row r="27" spans="1:10" x14ac:dyDescent="0.25">
      <c r="A27" t="s">
        <v>41</v>
      </c>
      <c r="B27" s="67">
        <v>3.67</v>
      </c>
      <c r="C27" s="22">
        <v>0</v>
      </c>
      <c r="D27">
        <v>0.1091</v>
      </c>
      <c r="E27" s="67">
        <v>33.64</v>
      </c>
      <c r="F27" s="67">
        <v>38.5</v>
      </c>
      <c r="G27" s="67">
        <v>4.2</v>
      </c>
      <c r="H27" s="67">
        <v>0.53</v>
      </c>
      <c r="I27" s="29">
        <v>0.1444</v>
      </c>
      <c r="J27" s="22">
        <v>0.45</v>
      </c>
    </row>
    <row r="28" spans="1:10" x14ac:dyDescent="0.25">
      <c r="A28" t="s">
        <v>98</v>
      </c>
      <c r="B28" s="67">
        <v>0.55000000000000004</v>
      </c>
      <c r="C28" s="22">
        <v>0</v>
      </c>
      <c r="D28">
        <v>1.7899999999999999E-2</v>
      </c>
      <c r="E28" s="67">
        <v>30.73</v>
      </c>
      <c r="F28" s="67">
        <v>33.520000000000003</v>
      </c>
      <c r="G28" s="67">
        <v>0.6</v>
      </c>
      <c r="H28" s="67">
        <v>0.05</v>
      </c>
      <c r="I28" s="29">
        <v>9.0899999999999995E-2</v>
      </c>
      <c r="J28" s="22" t="s">
        <v>227</v>
      </c>
    </row>
    <row r="29" spans="1:10" x14ac:dyDescent="0.25">
      <c r="A29" t="s">
        <v>12</v>
      </c>
      <c r="B29" s="67">
        <v>0.41</v>
      </c>
      <c r="C29" s="22">
        <v>0</v>
      </c>
      <c r="D29">
        <v>1E-3</v>
      </c>
      <c r="E29" s="67">
        <v>410</v>
      </c>
      <c r="F29" s="67">
        <v>490</v>
      </c>
      <c r="G29" s="67">
        <v>0.49</v>
      </c>
      <c r="H29" s="67">
        <v>0.08</v>
      </c>
      <c r="I29" s="29">
        <v>0.1951</v>
      </c>
      <c r="J29" s="22">
        <v>0.26</v>
      </c>
    </row>
    <row r="30" spans="1:10" x14ac:dyDescent="0.25">
      <c r="A30" t="s">
        <v>13</v>
      </c>
      <c r="B30" s="67">
        <v>0.02</v>
      </c>
      <c r="C30" s="22">
        <v>0</v>
      </c>
      <c r="D30">
        <v>1E-4</v>
      </c>
      <c r="E30" s="67">
        <v>200</v>
      </c>
      <c r="F30" s="67">
        <v>200</v>
      </c>
      <c r="G30" s="67">
        <v>0.02</v>
      </c>
      <c r="H30" s="67">
        <v>0</v>
      </c>
      <c r="I30" s="29">
        <v>0</v>
      </c>
      <c r="J30" s="22">
        <v>0.32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4B8E-C6BC-4AD0-AC00-4DC6C8976553}">
  <sheetPr filterMode="1"/>
  <dimension ref="A1:P65"/>
  <sheetViews>
    <sheetView workbookViewId="0">
      <selection activeCell="C1" sqref="C1:P1048576"/>
    </sheetView>
  </sheetViews>
  <sheetFormatPr defaultRowHeight="15" x14ac:dyDescent="0.25"/>
  <cols>
    <col min="1" max="1" width="25.85546875" customWidth="1"/>
    <col min="2" max="2" width="23.140625" bestFit="1" customWidth="1"/>
    <col min="3" max="3" width="9.28515625" bestFit="1" customWidth="1"/>
    <col min="4" max="4" width="13.140625" bestFit="1" customWidth="1"/>
    <col min="5" max="5" width="15.7109375" bestFit="1" customWidth="1"/>
    <col min="6" max="6" width="18.28515625" bestFit="1" customWidth="1"/>
    <col min="7" max="7" width="11.28515625" bestFit="1" customWidth="1"/>
    <col min="8" max="8" width="13" bestFit="1" customWidth="1"/>
    <col min="9" max="9" width="6.42578125" bestFit="1" customWidth="1"/>
    <col min="10" max="10" width="14.140625" bestFit="1" customWidth="1"/>
    <col min="11" max="11" width="15.85546875" bestFit="1" customWidth="1"/>
    <col min="12" max="12" width="12.7109375" bestFit="1" customWidth="1"/>
    <col min="13" max="13" width="11" bestFit="1" customWidth="1"/>
    <col min="14" max="14" width="14" bestFit="1" customWidth="1"/>
    <col min="15" max="15" width="11.42578125" bestFit="1" customWidth="1"/>
    <col min="16" max="16" width="10.85546875" bestFit="1" customWidth="1"/>
  </cols>
  <sheetData>
    <row r="1" spans="1:16" x14ac:dyDescent="0.25">
      <c r="A1" s="68" t="s">
        <v>207</v>
      </c>
      <c r="B1" s="68" t="s">
        <v>208</v>
      </c>
      <c r="C1" s="68" t="s">
        <v>80</v>
      </c>
      <c r="D1" s="68" t="s">
        <v>209</v>
      </c>
      <c r="E1" s="68" t="s">
        <v>210</v>
      </c>
      <c r="F1" s="68" t="s">
        <v>211</v>
      </c>
      <c r="G1" s="68" t="s">
        <v>144</v>
      </c>
      <c r="H1" s="68" t="s">
        <v>129</v>
      </c>
      <c r="I1" s="68" t="s">
        <v>212</v>
      </c>
      <c r="J1" s="68" t="s">
        <v>213</v>
      </c>
      <c r="K1" s="68" t="s">
        <v>214</v>
      </c>
      <c r="L1" s="68" t="s">
        <v>215</v>
      </c>
      <c r="M1" s="68" t="s">
        <v>216</v>
      </c>
      <c r="N1" s="68" t="s">
        <v>217</v>
      </c>
      <c r="O1" s="68" t="s">
        <v>61</v>
      </c>
      <c r="P1" s="77" t="s">
        <v>228</v>
      </c>
    </row>
    <row r="2" spans="1:16" hidden="1" x14ac:dyDescent="0.25">
      <c r="A2" t="s">
        <v>171</v>
      </c>
      <c r="B2" t="s">
        <v>171</v>
      </c>
      <c r="C2" t="s">
        <v>25</v>
      </c>
      <c r="D2" s="69">
        <v>1.15E-2</v>
      </c>
      <c r="E2">
        <v>52.210202623591499</v>
      </c>
      <c r="F2">
        <v>69.707999999999998</v>
      </c>
      <c r="G2" s="69">
        <v>6.8999999999999999E-3</v>
      </c>
      <c r="H2" s="70">
        <v>351.63</v>
      </c>
      <c r="I2">
        <v>9.93</v>
      </c>
      <c r="J2">
        <v>12.66</v>
      </c>
      <c r="K2" s="69">
        <v>0.27489999999999998</v>
      </c>
      <c r="L2">
        <v>1.0102731440659301</v>
      </c>
      <c r="M2">
        <v>35.410876999999999</v>
      </c>
      <c r="N2">
        <v>27.774881000000001</v>
      </c>
      <c r="O2" s="69">
        <v>0.2326</v>
      </c>
      <c r="P2" t="b">
        <f>NOT(VLOOKUP(C2,Positions!C:C,1,0)=C2)</f>
        <v>0</v>
      </c>
    </row>
    <row r="3" spans="1:16" hidden="1" x14ac:dyDescent="0.25">
      <c r="A3" t="s">
        <v>169</v>
      </c>
      <c r="B3" t="s">
        <v>169</v>
      </c>
      <c r="C3" t="s">
        <v>24</v>
      </c>
      <c r="D3" s="69"/>
      <c r="E3">
        <v>51.694442005172597</v>
      </c>
      <c r="F3">
        <v>59.419995999999998</v>
      </c>
      <c r="G3" s="69">
        <v>2.9999999999999997E-4</v>
      </c>
      <c r="H3" s="70">
        <v>147.9</v>
      </c>
      <c r="I3">
        <v>3.1</v>
      </c>
      <c r="J3">
        <v>4.12</v>
      </c>
      <c r="K3" s="69">
        <v>0.32900000000000001</v>
      </c>
      <c r="L3">
        <v>1.0910193490196001</v>
      </c>
      <c r="M3">
        <v>47.709679999999999</v>
      </c>
      <c r="N3">
        <v>35.898055999999997</v>
      </c>
      <c r="O3" s="69">
        <v>0.57569999999999999</v>
      </c>
      <c r="P3" t="b">
        <f>NOT(VLOOKUP(C3,Positions!C:C,1,0)=C3)</f>
        <v>0</v>
      </c>
    </row>
    <row r="4" spans="1:16" hidden="1" x14ac:dyDescent="0.25">
      <c r="A4" t="s">
        <v>219</v>
      </c>
      <c r="B4" t="s">
        <v>170</v>
      </c>
      <c r="C4" t="s">
        <v>5</v>
      </c>
      <c r="D4" s="69">
        <v>7.5200000000000003E-2</v>
      </c>
      <c r="E4">
        <v>50.301292507937099</v>
      </c>
      <c r="F4">
        <v>61.162996</v>
      </c>
      <c r="G4" s="69">
        <v>6.7400000000000002E-2</v>
      </c>
      <c r="H4" s="70">
        <v>59.91</v>
      </c>
      <c r="I4">
        <v>5.96</v>
      </c>
      <c r="J4">
        <v>5.35</v>
      </c>
      <c r="K4" s="69">
        <v>-0.1023</v>
      </c>
      <c r="L4">
        <v>-1.0941124714754</v>
      </c>
      <c r="M4">
        <v>10.052013000000001</v>
      </c>
      <c r="N4">
        <v>11.198131</v>
      </c>
      <c r="O4" s="69">
        <v>0.19489999999999999</v>
      </c>
      <c r="P4" t="b">
        <f>NOT(VLOOKUP(C4,Positions!C:C,1,0)=C4)</f>
        <v>0</v>
      </c>
    </row>
    <row r="5" spans="1:16" hidden="1" x14ac:dyDescent="0.25">
      <c r="A5" t="s">
        <v>171</v>
      </c>
      <c r="B5" t="s">
        <v>171</v>
      </c>
      <c r="C5" t="s">
        <v>28</v>
      </c>
      <c r="D5" s="69">
        <v>2.2800000000000001E-2</v>
      </c>
      <c r="E5">
        <v>45.213112751383498</v>
      </c>
      <c r="F5">
        <v>61.845999999999997</v>
      </c>
      <c r="G5" s="69">
        <v>5.5999999999999999E-3</v>
      </c>
      <c r="H5" s="70">
        <v>557.53</v>
      </c>
      <c r="I5">
        <v>14.26</v>
      </c>
      <c r="J5">
        <v>16.38</v>
      </c>
      <c r="K5" s="69">
        <v>0.1487</v>
      </c>
      <c r="L5">
        <v>2.2894862508490501</v>
      </c>
      <c r="M5">
        <v>39.097476999999998</v>
      </c>
      <c r="N5">
        <v>34.037242999999997</v>
      </c>
      <c r="O5" s="69">
        <v>0.22770000000000001</v>
      </c>
      <c r="P5" t="b">
        <f>NOT(VLOOKUP(C5,Positions!C:C,1,0)=C5)</f>
        <v>0</v>
      </c>
    </row>
    <row r="6" spans="1:16" hidden="1" x14ac:dyDescent="0.25">
      <c r="A6" t="s">
        <v>169</v>
      </c>
      <c r="B6" t="s">
        <v>169</v>
      </c>
      <c r="C6" t="s">
        <v>22</v>
      </c>
      <c r="D6" s="69">
        <v>6.4000000000000001E-2</v>
      </c>
      <c r="E6">
        <v>41.686769633025399</v>
      </c>
      <c r="F6">
        <v>68.481003999999999</v>
      </c>
      <c r="G6" s="69">
        <v>1.5599999999999999E-2</v>
      </c>
      <c r="H6" s="70">
        <v>220.09</v>
      </c>
      <c r="I6">
        <v>8.43</v>
      </c>
      <c r="J6">
        <v>8.08</v>
      </c>
      <c r="K6" s="69">
        <v>-4.1500000000000002E-2</v>
      </c>
      <c r="L6">
        <v>-6.5606742351428604</v>
      </c>
      <c r="M6">
        <v>26.107945999999998</v>
      </c>
      <c r="N6">
        <v>27.238861</v>
      </c>
      <c r="O6" s="69">
        <v>0.45879999999999999</v>
      </c>
      <c r="P6" t="b">
        <f>NOT(VLOOKUP(C6,Positions!C:C,1,0)=C6)</f>
        <v>0</v>
      </c>
    </row>
    <row r="7" spans="1:16" hidden="1" x14ac:dyDescent="0.25">
      <c r="A7" t="s">
        <v>169</v>
      </c>
      <c r="B7" t="s">
        <v>169</v>
      </c>
      <c r="C7" t="s">
        <v>12</v>
      </c>
      <c r="D7" s="69">
        <v>2.9999999999999997E-4</v>
      </c>
      <c r="E7">
        <v>35.789415272465199</v>
      </c>
      <c r="F7">
        <v>55.247</v>
      </c>
      <c r="G7" s="69">
        <v>6.7999999999999996E-3</v>
      </c>
      <c r="H7" s="70">
        <v>490.11</v>
      </c>
      <c r="I7">
        <v>12.93</v>
      </c>
      <c r="J7">
        <v>14.95</v>
      </c>
      <c r="K7" s="69">
        <v>0.15620000000000001</v>
      </c>
      <c r="L7">
        <v>2.0984542508910802</v>
      </c>
      <c r="M7">
        <v>37.904870000000003</v>
      </c>
      <c r="N7">
        <v>32.783276000000001</v>
      </c>
      <c r="O7" s="69">
        <v>0.25590000000000002</v>
      </c>
      <c r="P7" t="b">
        <f>NOT(VLOOKUP(C7,Positions!C:C,1,0)=C7)</f>
        <v>0</v>
      </c>
    </row>
    <row r="8" spans="1:16" hidden="1" x14ac:dyDescent="0.25">
      <c r="A8" t="s">
        <v>171</v>
      </c>
      <c r="B8" t="s">
        <v>171</v>
      </c>
      <c r="C8" t="s">
        <v>198</v>
      </c>
      <c r="D8" s="69">
        <v>4.7899999999999998E-2</v>
      </c>
      <c r="E8">
        <v>31.6981011169926</v>
      </c>
      <c r="F8">
        <v>0</v>
      </c>
      <c r="G8" s="69">
        <v>5.4699999999999999E-2</v>
      </c>
      <c r="H8" s="70">
        <v>13.11</v>
      </c>
      <c r="I8">
        <v>1.77</v>
      </c>
      <c r="J8">
        <v>0.94</v>
      </c>
      <c r="K8" s="69">
        <v>-0.46889999999999998</v>
      </c>
      <c r="L8">
        <v>-0.29753331072289102</v>
      </c>
      <c r="M8">
        <v>7.4096045000000004</v>
      </c>
      <c r="N8">
        <v>13.952127000000001</v>
      </c>
      <c r="O8" s="69">
        <v>0.30120000000000002</v>
      </c>
      <c r="P8" t="b">
        <f>NOT(VLOOKUP(C8,Positions!C:C,1,0)=C8)</f>
        <v>0</v>
      </c>
    </row>
    <row r="9" spans="1:16" hidden="1" x14ac:dyDescent="0.25">
      <c r="A9" t="s">
        <v>169</v>
      </c>
      <c r="B9" t="s">
        <v>173</v>
      </c>
      <c r="C9" t="s">
        <v>17</v>
      </c>
      <c r="D9" s="69">
        <v>2.5000000000000001E-3</v>
      </c>
      <c r="E9">
        <v>30.856819860861702</v>
      </c>
      <c r="F9">
        <v>37.726002999999999</v>
      </c>
      <c r="G9" s="69">
        <v>5.1000000000000004E-3</v>
      </c>
      <c r="H9" s="70">
        <v>166.77</v>
      </c>
      <c r="I9">
        <v>8.9499999999999993</v>
      </c>
      <c r="J9">
        <v>8.9600000000000009</v>
      </c>
      <c r="K9" s="69">
        <v>1.1000000000000001E-3</v>
      </c>
      <c r="L9">
        <v>166.583879799973</v>
      </c>
      <c r="M9">
        <v>18.633520000000001</v>
      </c>
      <c r="N9">
        <v>18.612724</v>
      </c>
      <c r="O9" s="69">
        <v>0.31869999999999998</v>
      </c>
      <c r="P9" t="b">
        <f>NOT(VLOOKUP(C9,Positions!C:C,1,0)=C9)</f>
        <v>0</v>
      </c>
    </row>
    <row r="10" spans="1:16" hidden="1" x14ac:dyDescent="0.25">
      <c r="A10" t="s">
        <v>171</v>
      </c>
      <c r="B10" t="s">
        <v>171</v>
      </c>
      <c r="C10" t="s">
        <v>225</v>
      </c>
      <c r="D10" s="69">
        <v>1.0500000000000001E-2</v>
      </c>
      <c r="E10">
        <v>30.761926567772498</v>
      </c>
      <c r="F10">
        <v>0</v>
      </c>
      <c r="G10" s="69">
        <v>5.0900000000000001E-2</v>
      </c>
      <c r="H10" s="70">
        <v>217.79</v>
      </c>
      <c r="I10">
        <v>19.8</v>
      </c>
      <c r="J10">
        <v>20.68</v>
      </c>
      <c r="K10" s="69">
        <v>4.4400000000000002E-2</v>
      </c>
      <c r="L10">
        <v>2.3695719749999999</v>
      </c>
      <c r="M10">
        <v>10.9994955</v>
      </c>
      <c r="N10">
        <v>10.531431</v>
      </c>
      <c r="O10" s="69">
        <v>0.24990000000000001</v>
      </c>
      <c r="P10" t="b">
        <f>NOT(VLOOKUP(C10,Positions!C:C,1,0)=C10)</f>
        <v>0</v>
      </c>
    </row>
    <row r="11" spans="1:16" hidden="1" x14ac:dyDescent="0.25">
      <c r="A11" t="s">
        <v>178</v>
      </c>
      <c r="B11" t="s">
        <v>169</v>
      </c>
      <c r="C11" t="s">
        <v>46</v>
      </c>
      <c r="D11" s="69">
        <v>3.9199999999999999E-2</v>
      </c>
      <c r="E11">
        <v>29.716643554944799</v>
      </c>
      <c r="F11">
        <v>43.032001999999999</v>
      </c>
      <c r="G11" s="69">
        <v>0</v>
      </c>
      <c r="H11" s="70">
        <v>151.18</v>
      </c>
      <c r="I11">
        <v>11.78</v>
      </c>
      <c r="J11">
        <v>20.86</v>
      </c>
      <c r="K11" s="69">
        <v>0.77080000000000004</v>
      </c>
      <c r="L11">
        <v>9.4024153555066006E-2</v>
      </c>
      <c r="M11">
        <v>12.833615999999999</v>
      </c>
      <c r="N11">
        <v>7.2473625999999998</v>
      </c>
      <c r="O11" s="69">
        <v>0.63060000000000005</v>
      </c>
      <c r="P11" t="b">
        <f>NOT(VLOOKUP(C11,Positions!C:C,1,0)=C11)</f>
        <v>0</v>
      </c>
    </row>
    <row r="12" spans="1:16" hidden="1" x14ac:dyDescent="0.25">
      <c r="A12" t="s">
        <v>169</v>
      </c>
      <c r="B12" t="s">
        <v>169</v>
      </c>
      <c r="C12" t="s">
        <v>60</v>
      </c>
      <c r="D12" s="69"/>
      <c r="E12">
        <v>28.334591118141098</v>
      </c>
      <c r="F12">
        <v>36.578000000000003</v>
      </c>
      <c r="G12" s="69">
        <v>1.0699999999999999E-2</v>
      </c>
      <c r="H12" s="70">
        <v>813.36</v>
      </c>
      <c r="I12">
        <v>25.5</v>
      </c>
      <c r="J12">
        <v>26.7</v>
      </c>
      <c r="K12" s="69">
        <v>4.7100000000000003E-2</v>
      </c>
      <c r="L12">
        <v>6.4733704999999997</v>
      </c>
      <c r="M12">
        <v>31.896469999999901</v>
      </c>
      <c r="N12">
        <v>30.46292</v>
      </c>
      <c r="O12" s="69">
        <v>0.4773</v>
      </c>
      <c r="P12" t="b">
        <f>NOT(VLOOKUP(C12,Positions!C:C,1,0)=C12)</f>
        <v>0</v>
      </c>
    </row>
    <row r="13" spans="1:16" hidden="1" x14ac:dyDescent="0.25">
      <c r="A13" t="s">
        <v>171</v>
      </c>
      <c r="B13" t="s">
        <v>171</v>
      </c>
      <c r="C13" t="s">
        <v>180</v>
      </c>
      <c r="D13" s="69">
        <v>3.6299999999999999E-2</v>
      </c>
      <c r="E13">
        <v>28.1041460080314</v>
      </c>
      <c r="F13">
        <v>0</v>
      </c>
      <c r="G13" s="69">
        <v>0.35780000000000001</v>
      </c>
      <c r="H13" s="70">
        <v>44.97</v>
      </c>
      <c r="I13">
        <v>6.45</v>
      </c>
      <c r="J13">
        <v>5.9</v>
      </c>
      <c r="K13" s="69">
        <v>-8.5300000000000001E-2</v>
      </c>
      <c r="L13">
        <v>-0.89385671454545401</v>
      </c>
      <c r="M13">
        <v>6.9720936</v>
      </c>
      <c r="N13">
        <v>7.6220340000000002</v>
      </c>
      <c r="O13" s="69">
        <v>0.31859999999999999</v>
      </c>
      <c r="P13" t="b">
        <f>NOT(VLOOKUP(C13,Positions!C:C,1,0)=C13)</f>
        <v>0</v>
      </c>
    </row>
    <row r="14" spans="1:16" hidden="1" x14ac:dyDescent="0.25">
      <c r="A14" t="s">
        <v>169</v>
      </c>
      <c r="B14" t="s">
        <v>169</v>
      </c>
      <c r="C14" t="s">
        <v>9</v>
      </c>
      <c r="D14" s="69"/>
      <c r="E14">
        <v>26.048811815109399</v>
      </c>
      <c r="F14">
        <v>31.573</v>
      </c>
      <c r="G14" s="69">
        <v>2.3199999999999998E-2</v>
      </c>
      <c r="H14" s="70">
        <v>155.71</v>
      </c>
      <c r="I14">
        <v>9.8000000000000007</v>
      </c>
      <c r="J14">
        <v>12.23</v>
      </c>
      <c r="K14" s="69">
        <v>0.248</v>
      </c>
      <c r="L14">
        <v>0.51346386172839498</v>
      </c>
      <c r="M14">
        <v>15.888776</v>
      </c>
      <c r="N14">
        <v>12.731807999999999</v>
      </c>
      <c r="O14" s="69">
        <v>0.42849999999999999</v>
      </c>
      <c r="P14" t="b">
        <f>NOT(VLOOKUP(C14,Positions!C:C,1,0)=C14)</f>
        <v>0</v>
      </c>
    </row>
    <row r="15" spans="1:16" hidden="1" x14ac:dyDescent="0.25">
      <c r="A15" t="s">
        <v>171</v>
      </c>
      <c r="B15" t="s">
        <v>171</v>
      </c>
      <c r="C15" t="s">
        <v>84</v>
      </c>
      <c r="D15" s="69">
        <v>5.45E-2</v>
      </c>
      <c r="E15">
        <v>25.984840469640901</v>
      </c>
      <c r="F15">
        <v>0</v>
      </c>
      <c r="G15" s="69">
        <v>5.5399999999999998E-2</v>
      </c>
      <c r="H15" s="70">
        <v>21.36</v>
      </c>
      <c r="I15">
        <v>2.27</v>
      </c>
      <c r="J15">
        <v>2.19</v>
      </c>
      <c r="K15" s="69">
        <v>-3.5200000000000002E-2</v>
      </c>
      <c r="L15">
        <v>-2.7675343437499902</v>
      </c>
      <c r="M15">
        <v>9.4096919999999997</v>
      </c>
      <c r="N15">
        <v>9.753425</v>
      </c>
      <c r="O15" s="69">
        <v>0.2737</v>
      </c>
      <c r="P15" t="b">
        <f>NOT(VLOOKUP(C15,Positions!C:C,1,0)=C15)</f>
        <v>0</v>
      </c>
    </row>
    <row r="16" spans="1:16" hidden="1" x14ac:dyDescent="0.25">
      <c r="A16" t="s">
        <v>169</v>
      </c>
      <c r="B16" t="s">
        <v>169</v>
      </c>
      <c r="C16" t="s">
        <v>13</v>
      </c>
      <c r="D16" s="69">
        <v>0</v>
      </c>
      <c r="E16">
        <v>24.3012637457838</v>
      </c>
      <c r="F16">
        <v>34.685000000000002</v>
      </c>
      <c r="G16" s="69">
        <v>5.1999999999999998E-3</v>
      </c>
      <c r="H16" s="70">
        <v>200.3</v>
      </c>
      <c r="I16">
        <v>6.43</v>
      </c>
      <c r="J16">
        <v>8.31</v>
      </c>
      <c r="K16" s="69">
        <v>0.29239999999999999</v>
      </c>
      <c r="L16">
        <v>0.82439060781914797</v>
      </c>
      <c r="M16">
        <v>31.150856000000001</v>
      </c>
      <c r="N16">
        <v>24.103489</v>
      </c>
      <c r="O16" s="69">
        <v>0.32319999999999999</v>
      </c>
      <c r="P16" t="b">
        <f>NOT(VLOOKUP(C16,Positions!C:C,1,0)=C16)</f>
        <v>0</v>
      </c>
    </row>
    <row r="17" spans="1:16" hidden="1" x14ac:dyDescent="0.25">
      <c r="A17" t="s">
        <v>169</v>
      </c>
      <c r="B17" t="s">
        <v>169</v>
      </c>
      <c r="C17" t="s">
        <v>30</v>
      </c>
      <c r="D17" s="69"/>
      <c r="E17">
        <v>24.059240782505299</v>
      </c>
      <c r="F17">
        <v>31.132999999999999</v>
      </c>
      <c r="G17" s="69">
        <v>1.0699999999999999E-2</v>
      </c>
      <c r="H17" s="70">
        <v>180.18</v>
      </c>
      <c r="I17">
        <v>8.2200000000000006</v>
      </c>
      <c r="J17">
        <v>9.69</v>
      </c>
      <c r="K17" s="69">
        <v>0.17879999999999999</v>
      </c>
      <c r="L17">
        <v>1.0397699995918299</v>
      </c>
      <c r="M17">
        <v>21.919706000000001</v>
      </c>
      <c r="N17">
        <v>18.594427</v>
      </c>
      <c r="O17" s="69">
        <v>0.48820000000000002</v>
      </c>
      <c r="P17" t="b">
        <f>NOT(VLOOKUP(C17,Positions!C:C,1,0)=C17)</f>
        <v>0</v>
      </c>
    </row>
    <row r="18" spans="1:16" hidden="1" x14ac:dyDescent="0.25">
      <c r="A18" t="s">
        <v>171</v>
      </c>
      <c r="B18" t="s">
        <v>171</v>
      </c>
      <c r="C18" t="s">
        <v>166</v>
      </c>
      <c r="D18" s="69">
        <v>4.5999999999999999E-2</v>
      </c>
      <c r="E18">
        <v>22.632257202989699</v>
      </c>
      <c r="F18">
        <v>0</v>
      </c>
      <c r="G18" s="69">
        <v>2.4E-2</v>
      </c>
      <c r="H18" s="70">
        <v>18.260000000000002</v>
      </c>
      <c r="I18">
        <v>2.02</v>
      </c>
      <c r="J18">
        <v>1.05</v>
      </c>
      <c r="K18" s="69">
        <v>-0.48020000000000002</v>
      </c>
      <c r="L18">
        <v>-0.362152222268041</v>
      </c>
      <c r="M18">
        <v>9.0396040000000006</v>
      </c>
      <c r="N18">
        <v>17.390478000000002</v>
      </c>
      <c r="O18" s="69">
        <v>0.35949999999999999</v>
      </c>
      <c r="P18" t="b">
        <f>NOT(VLOOKUP(C18,Positions!C:C,1,0)=C18)</f>
        <v>0</v>
      </c>
    </row>
    <row r="19" spans="1:16" hidden="1" x14ac:dyDescent="0.25">
      <c r="A19" t="s">
        <v>171</v>
      </c>
      <c r="B19" t="s">
        <v>171</v>
      </c>
      <c r="C19" t="s">
        <v>186</v>
      </c>
      <c r="D19" s="69"/>
      <c r="E19">
        <v>22.5677633341305</v>
      </c>
      <c r="F19">
        <v>0</v>
      </c>
      <c r="G19" s="69">
        <v>2.7699999999999999E-2</v>
      </c>
      <c r="H19" s="70">
        <v>15.17</v>
      </c>
      <c r="I19">
        <v>1.24</v>
      </c>
      <c r="J19">
        <v>0.41</v>
      </c>
      <c r="K19" s="69">
        <v>-0.6694</v>
      </c>
      <c r="L19">
        <v>-0.55277108433734901</v>
      </c>
      <c r="M19">
        <v>12.2338705</v>
      </c>
      <c r="N19">
        <v>37</v>
      </c>
      <c r="O19" s="69">
        <v>0.36399999999999999</v>
      </c>
      <c r="P19" t="b">
        <f>NOT(VLOOKUP(C19,Positions!C:C,1,0)=C19)</f>
        <v>0</v>
      </c>
    </row>
    <row r="20" spans="1:16" hidden="1" x14ac:dyDescent="0.25">
      <c r="A20" t="s">
        <v>178</v>
      </c>
      <c r="B20" t="s">
        <v>172</v>
      </c>
      <c r="C20" t="s">
        <v>27</v>
      </c>
      <c r="D20" s="69">
        <v>3.6200000000000003E-2</v>
      </c>
      <c r="E20">
        <v>21.809331679631502</v>
      </c>
      <c r="F20">
        <v>53.73</v>
      </c>
      <c r="G20" s="69">
        <v>3.2000000000000001E-2</v>
      </c>
      <c r="H20" s="70">
        <v>71.400000000000006</v>
      </c>
      <c r="I20">
        <v>2.67</v>
      </c>
      <c r="J20">
        <v>3.68</v>
      </c>
      <c r="K20" s="69">
        <v>0.37830000000000003</v>
      </c>
      <c r="L20">
        <v>0.512908956237623</v>
      </c>
      <c r="M20">
        <v>26.741572999999999</v>
      </c>
      <c r="N20">
        <v>19.402173999999999</v>
      </c>
      <c r="O20" s="69">
        <v>0.28939999999999999</v>
      </c>
      <c r="P20" t="b">
        <f>NOT(VLOOKUP(C20,Positions!C:C,1,0)=C20)</f>
        <v>0</v>
      </c>
    </row>
    <row r="21" spans="1:16" hidden="1" x14ac:dyDescent="0.25">
      <c r="A21" t="s">
        <v>174</v>
      </c>
      <c r="B21" t="s">
        <v>174</v>
      </c>
      <c r="C21" t="s">
        <v>183</v>
      </c>
      <c r="D21" s="69"/>
      <c r="E21">
        <v>20.758656942509599</v>
      </c>
      <c r="F21">
        <v>47.761001999999998</v>
      </c>
      <c r="G21" s="69">
        <v>2.98E-2</v>
      </c>
      <c r="H21" s="70">
        <v>107.2</v>
      </c>
      <c r="I21">
        <v>4.76</v>
      </c>
      <c r="J21">
        <v>7.43</v>
      </c>
      <c r="K21" s="69">
        <v>0.56089999999999995</v>
      </c>
      <c r="L21">
        <v>0.25721818801498098</v>
      </c>
      <c r="M21">
        <v>22.521007999999998</v>
      </c>
      <c r="N21">
        <v>14.427994999999999</v>
      </c>
      <c r="O21" s="69">
        <v>0.2606</v>
      </c>
      <c r="P21" t="b">
        <f>NOT(VLOOKUP(C21,Positions!C:C,1,0)=C21)</f>
        <v>0</v>
      </c>
    </row>
    <row r="22" spans="1:16" hidden="1" x14ac:dyDescent="0.25">
      <c r="A22" t="s">
        <v>219</v>
      </c>
      <c r="B22" t="s">
        <v>175</v>
      </c>
      <c r="C22" t="s">
        <v>59</v>
      </c>
      <c r="D22" s="69">
        <v>1.8499999999999999E-2</v>
      </c>
      <c r="E22">
        <v>18.415610746600901</v>
      </c>
      <c r="F22">
        <v>35.5</v>
      </c>
      <c r="G22" s="69">
        <v>2.01E-2</v>
      </c>
      <c r="H22" s="70">
        <v>142.69999999999999</v>
      </c>
      <c r="I22">
        <v>5.0199999999999996</v>
      </c>
      <c r="J22">
        <v>6.08</v>
      </c>
      <c r="K22" s="69">
        <v>0.2112</v>
      </c>
      <c r="L22">
        <v>1.11152243283018</v>
      </c>
      <c r="M22">
        <v>28.426293999999899</v>
      </c>
      <c r="N22">
        <v>23.470393999999999</v>
      </c>
      <c r="O22" s="69">
        <v>0.2203</v>
      </c>
      <c r="P22" t="b">
        <f>NOT(VLOOKUP(C22,Positions!C:C,1,0)=C22)</f>
        <v>0</v>
      </c>
    </row>
    <row r="23" spans="1:16" hidden="1" x14ac:dyDescent="0.25">
      <c r="A23" t="s">
        <v>169</v>
      </c>
      <c r="B23" t="s">
        <v>169</v>
      </c>
      <c r="C23" t="s">
        <v>82</v>
      </c>
      <c r="D23" s="69"/>
      <c r="E23">
        <v>18.320598218516601</v>
      </c>
      <c r="F23">
        <v>13.976000000000001</v>
      </c>
      <c r="G23" s="69">
        <v>0</v>
      </c>
      <c r="H23" s="70">
        <v>143.22999999999999</v>
      </c>
      <c r="I23">
        <v>0.22</v>
      </c>
      <c r="J23">
        <v>0.47</v>
      </c>
      <c r="K23" s="69">
        <v>1.1364000000000001</v>
      </c>
      <c r="L23">
        <v>2.6817530079999998</v>
      </c>
      <c r="M23">
        <v>651.04539999999997</v>
      </c>
      <c r="N23">
        <v>304.74466000000001</v>
      </c>
      <c r="O23" s="69">
        <v>0.72799999999999998</v>
      </c>
      <c r="P23" t="b">
        <f>NOT(VLOOKUP(C23,Positions!C:C,1,0)=C23)</f>
        <v>0</v>
      </c>
    </row>
    <row r="24" spans="1:16" hidden="1" x14ac:dyDescent="0.25">
      <c r="A24" t="s">
        <v>85</v>
      </c>
      <c r="B24" t="s">
        <v>85</v>
      </c>
      <c r="C24" t="s">
        <v>87</v>
      </c>
      <c r="D24" s="69"/>
      <c r="E24">
        <v>18.0312481045159</v>
      </c>
      <c r="F24">
        <v>21.734999999999999</v>
      </c>
      <c r="G24" s="69">
        <v>1.9800000000000002E-2</v>
      </c>
      <c r="H24" s="70">
        <v>149.87</v>
      </c>
      <c r="I24">
        <v>8.0299999999999994</v>
      </c>
      <c r="J24">
        <v>7.9</v>
      </c>
      <c r="K24" s="69">
        <v>-1.6199999999999999E-2</v>
      </c>
      <c r="L24">
        <v>-11.7181691169231</v>
      </c>
      <c r="M24">
        <v>18.663761000000001</v>
      </c>
      <c r="N24">
        <v>18.970884000000002</v>
      </c>
      <c r="O24" s="69">
        <v>0.36320000000000002</v>
      </c>
      <c r="P24" t="b">
        <f>NOT(VLOOKUP(C24,Positions!C:C,1,0)=C24)</f>
        <v>0</v>
      </c>
    </row>
    <row r="25" spans="1:16" hidden="1" x14ac:dyDescent="0.25">
      <c r="A25" t="s">
        <v>171</v>
      </c>
      <c r="B25" t="s">
        <v>171</v>
      </c>
      <c r="C25" t="s">
        <v>226</v>
      </c>
      <c r="D25" s="69">
        <v>5.4999999999999997E-3</v>
      </c>
      <c r="E25">
        <v>16.9370214423048</v>
      </c>
      <c r="F25">
        <v>0</v>
      </c>
      <c r="G25" s="69">
        <v>2.8199999999999999E-2</v>
      </c>
      <c r="H25" s="70">
        <v>81.14</v>
      </c>
      <c r="I25">
        <v>6.33</v>
      </c>
      <c r="J25">
        <v>7.19</v>
      </c>
      <c r="K25" s="69">
        <v>0.13589999999999999</v>
      </c>
      <c r="L25">
        <v>0.83063717372092905</v>
      </c>
      <c r="M25">
        <v>12.818325</v>
      </c>
      <c r="N25">
        <v>11.285118000000001</v>
      </c>
      <c r="O25" s="69">
        <v>0.34339999999999998</v>
      </c>
      <c r="P25" t="b">
        <f>NOT(VLOOKUP(C25,Positions!C:C,1,0)=C25)</f>
        <v>0</v>
      </c>
    </row>
    <row r="26" spans="1:16" hidden="1" x14ac:dyDescent="0.25">
      <c r="A26" t="s">
        <v>178</v>
      </c>
      <c r="B26" t="s">
        <v>172</v>
      </c>
      <c r="C26" t="s">
        <v>32</v>
      </c>
      <c r="D26" s="69"/>
      <c r="E26">
        <v>15.220239866756501</v>
      </c>
      <c r="F26">
        <v>48.826998000000003</v>
      </c>
      <c r="G26" s="69">
        <v>3.5700000000000003E-2</v>
      </c>
      <c r="H26" s="70">
        <v>116.95</v>
      </c>
      <c r="I26">
        <v>6.02</v>
      </c>
      <c r="J26">
        <v>6.34</v>
      </c>
      <c r="K26" s="69">
        <v>5.3199999999999997E-2</v>
      </c>
      <c r="L26">
        <v>3.4702235443749898</v>
      </c>
      <c r="M26">
        <v>19.426909999999999</v>
      </c>
      <c r="N26">
        <v>18.446370999999999</v>
      </c>
      <c r="O26" s="69">
        <v>0.1822</v>
      </c>
      <c r="P26" t="b">
        <f>NOT(VLOOKUP(C26,Positions!C:C,1,0)=C26)</f>
        <v>0</v>
      </c>
    </row>
    <row r="27" spans="1:16" hidden="1" x14ac:dyDescent="0.25">
      <c r="A27" t="s">
        <v>219</v>
      </c>
      <c r="B27" t="s">
        <v>175</v>
      </c>
      <c r="C27" t="s">
        <v>34</v>
      </c>
      <c r="D27" s="69"/>
      <c r="E27">
        <v>14.819975612540199</v>
      </c>
      <c r="F27">
        <v>26.488</v>
      </c>
      <c r="G27" s="69">
        <v>2.8899999999999999E-2</v>
      </c>
      <c r="H27" s="70">
        <v>453.55</v>
      </c>
      <c r="I27">
        <v>25.1</v>
      </c>
      <c r="J27">
        <v>29.09</v>
      </c>
      <c r="K27" s="69">
        <v>0.159</v>
      </c>
      <c r="L27">
        <v>0.98080407719298202</v>
      </c>
      <c r="M27">
        <v>18.069721000000001</v>
      </c>
      <c r="N27">
        <v>15.591267999999999</v>
      </c>
      <c r="O27" s="69">
        <v>0.31759999999999999</v>
      </c>
      <c r="P27" t="b">
        <f>NOT(VLOOKUP(C27,Positions!C:C,1,0)=C27)</f>
        <v>0</v>
      </c>
    </row>
    <row r="28" spans="1:16" hidden="1" x14ac:dyDescent="0.25">
      <c r="A28" t="s">
        <v>178</v>
      </c>
      <c r="B28" t="s">
        <v>172</v>
      </c>
      <c r="C28" t="s">
        <v>181</v>
      </c>
      <c r="D28" s="69"/>
      <c r="E28">
        <v>13.711988972761199</v>
      </c>
      <c r="F28">
        <v>39.542999999999999</v>
      </c>
      <c r="G28" s="69">
        <v>3.5999999999999997E-2</v>
      </c>
      <c r="H28" s="70">
        <v>103.28</v>
      </c>
      <c r="I28">
        <v>5.18</v>
      </c>
      <c r="J28">
        <v>5.89</v>
      </c>
      <c r="K28" s="69">
        <v>0.1371</v>
      </c>
      <c r="L28">
        <v>1.27929985774647</v>
      </c>
      <c r="M28">
        <v>19.938224999999999</v>
      </c>
      <c r="N28">
        <v>17.534804999999999</v>
      </c>
      <c r="O28" s="69">
        <v>0.19470000000000001</v>
      </c>
      <c r="P28" t="b">
        <f>NOT(VLOOKUP(C28,Positions!C:C,1,0)=C28)</f>
        <v>0</v>
      </c>
    </row>
    <row r="29" spans="1:16" hidden="1" x14ac:dyDescent="0.25">
      <c r="A29" t="s">
        <v>220</v>
      </c>
      <c r="B29" t="s">
        <v>220</v>
      </c>
      <c r="C29" t="s">
        <v>187</v>
      </c>
      <c r="D29" s="69"/>
      <c r="E29">
        <v>13.4499875281473</v>
      </c>
      <c r="F29">
        <v>29.632000000000001</v>
      </c>
      <c r="G29" s="69">
        <v>6.13E-2</v>
      </c>
      <c r="H29" s="70">
        <v>33.950000000000003</v>
      </c>
      <c r="I29">
        <v>2.11</v>
      </c>
      <c r="J29">
        <v>3.98</v>
      </c>
      <c r="K29" s="69">
        <v>0.88629999999999998</v>
      </c>
      <c r="L29">
        <v>9.6249297379679105E-2</v>
      </c>
      <c r="M29">
        <v>16.090047999999999</v>
      </c>
      <c r="N29">
        <v>8.530151</v>
      </c>
      <c r="O29" s="69">
        <v>0.438</v>
      </c>
      <c r="P29" t="b">
        <f>NOT(VLOOKUP(C29,Positions!C:C,1,0)=C29)</f>
        <v>0</v>
      </c>
    </row>
    <row r="30" spans="1:16" hidden="1" x14ac:dyDescent="0.25">
      <c r="A30" t="s">
        <v>219</v>
      </c>
      <c r="B30" t="s">
        <v>170</v>
      </c>
      <c r="C30" t="s">
        <v>20</v>
      </c>
      <c r="D30" s="69">
        <v>3.2500000000000001E-2</v>
      </c>
      <c r="E30">
        <v>12.481644842003501</v>
      </c>
      <c r="F30">
        <v>19.545000999999999</v>
      </c>
      <c r="G30" s="69">
        <v>3.8699999999999998E-2</v>
      </c>
      <c r="H30" s="70">
        <v>129.94999999999999</v>
      </c>
      <c r="I30">
        <v>7.34</v>
      </c>
      <c r="J30">
        <v>7.63</v>
      </c>
      <c r="K30" s="69">
        <v>3.95E-2</v>
      </c>
      <c r="L30">
        <v>4.3107197365517198</v>
      </c>
      <c r="M30">
        <v>17.704360000000001</v>
      </c>
      <c r="N30">
        <v>17.031454</v>
      </c>
      <c r="O30" s="69">
        <v>0.1946</v>
      </c>
      <c r="P30" t="b">
        <f>NOT(VLOOKUP(C30,Positions!C:C,1,0)=C30)</f>
        <v>0</v>
      </c>
    </row>
    <row r="31" spans="1:16" hidden="1" x14ac:dyDescent="0.25">
      <c r="A31" t="s">
        <v>178</v>
      </c>
      <c r="B31" t="s">
        <v>172</v>
      </c>
      <c r="C31" t="s">
        <v>89</v>
      </c>
      <c r="D31" s="69">
        <v>1.5699999999999999E-2</v>
      </c>
      <c r="E31">
        <v>11.435082528811201</v>
      </c>
      <c r="F31">
        <v>32.266998000000001</v>
      </c>
      <c r="G31" s="69">
        <v>3.6999999999999998E-2</v>
      </c>
      <c r="H31" s="70">
        <v>43.1</v>
      </c>
      <c r="I31">
        <v>2.69</v>
      </c>
      <c r="J31">
        <v>2.63</v>
      </c>
      <c r="K31" s="69">
        <v>-2.23E-2</v>
      </c>
      <c r="L31">
        <v>-7.3472104499999897</v>
      </c>
      <c r="M31">
        <v>16.022304999999999</v>
      </c>
      <c r="N31">
        <v>16.387830000000001</v>
      </c>
      <c r="O31" s="69">
        <v>0.1918</v>
      </c>
      <c r="P31" t="b">
        <f>NOT(VLOOKUP(C31,Positions!C:C,1,0)=C31)</f>
        <v>0</v>
      </c>
    </row>
    <row r="32" spans="1:16" hidden="1" x14ac:dyDescent="0.25">
      <c r="A32" t="s">
        <v>219</v>
      </c>
      <c r="B32" t="s">
        <v>170</v>
      </c>
      <c r="C32" t="s">
        <v>16</v>
      </c>
      <c r="D32" s="69">
        <v>5.5500000000000001E-2</v>
      </c>
      <c r="E32">
        <v>10.237864319253401</v>
      </c>
      <c r="F32">
        <v>18.905999999999999</v>
      </c>
      <c r="G32" s="69">
        <v>4.41E-2</v>
      </c>
      <c r="H32" s="70">
        <v>131.05000000000001</v>
      </c>
      <c r="I32">
        <v>6.8</v>
      </c>
      <c r="J32">
        <v>8.6300000000000008</v>
      </c>
      <c r="K32" s="69">
        <v>0.26910000000000001</v>
      </c>
      <c r="L32">
        <v>0.56426622950819605</v>
      </c>
      <c r="M32">
        <v>19.272058000000001</v>
      </c>
      <c r="N32">
        <v>15.1853999999999</v>
      </c>
      <c r="O32" s="69">
        <v>0.1956</v>
      </c>
      <c r="P32" t="b">
        <f>NOT(VLOOKUP(C32,Positions!C:C,1,0)=C32)</f>
        <v>0</v>
      </c>
    </row>
    <row r="33" spans="1:16" hidden="1" x14ac:dyDescent="0.25">
      <c r="A33" t="s">
        <v>178</v>
      </c>
      <c r="B33" t="s">
        <v>40</v>
      </c>
      <c r="C33" t="s">
        <v>92</v>
      </c>
      <c r="D33" s="69">
        <v>6.5299999999999997E-2</v>
      </c>
      <c r="E33">
        <v>10.0413877188209</v>
      </c>
      <c r="F33">
        <v>58.8</v>
      </c>
      <c r="G33" s="69">
        <v>5.4399999999999997E-2</v>
      </c>
      <c r="H33" s="70">
        <v>18.18</v>
      </c>
      <c r="I33">
        <v>2.79</v>
      </c>
      <c r="J33">
        <v>2.75</v>
      </c>
      <c r="K33" s="69">
        <v>-1.43E-2</v>
      </c>
      <c r="L33">
        <v>-4.6111090274999897</v>
      </c>
      <c r="M33">
        <v>6.5161290000000003</v>
      </c>
      <c r="N33">
        <v>6.6109090000000004</v>
      </c>
      <c r="O33" s="69">
        <v>0.52470000000000006</v>
      </c>
      <c r="P33" t="b">
        <f>NOT(VLOOKUP(C33,Positions!C:C,1,0)=C33)</f>
        <v>0</v>
      </c>
    </row>
    <row r="34" spans="1:16" hidden="1" x14ac:dyDescent="0.25">
      <c r="A34" t="s">
        <v>178</v>
      </c>
      <c r="B34" t="s">
        <v>172</v>
      </c>
      <c r="C34" t="s">
        <v>90</v>
      </c>
      <c r="D34" s="69"/>
      <c r="E34">
        <v>9.5758125530442904</v>
      </c>
      <c r="F34">
        <v>38.176997999999998</v>
      </c>
      <c r="G34" s="69">
        <v>7.1999999999999998E-3</v>
      </c>
      <c r="H34" s="70">
        <v>14.16</v>
      </c>
      <c r="I34">
        <v>1.0900000000000001</v>
      </c>
      <c r="J34">
        <v>1.48</v>
      </c>
      <c r="K34" s="69">
        <v>0.35780000000000001</v>
      </c>
      <c r="L34">
        <v>0.26740123153846102</v>
      </c>
      <c r="M34">
        <v>12.990824999999999</v>
      </c>
      <c r="N34">
        <v>9.5675670000000004</v>
      </c>
      <c r="O34" s="69">
        <v>0.28060000000000002</v>
      </c>
      <c r="P34" t="b">
        <f>NOT(VLOOKUP(C34,Positions!C:C,1,0)=C34)</f>
        <v>0</v>
      </c>
    </row>
    <row r="35" spans="1:16" hidden="1" x14ac:dyDescent="0.25">
      <c r="A35" t="s">
        <v>219</v>
      </c>
      <c r="B35" t="s">
        <v>170</v>
      </c>
      <c r="C35" t="s">
        <v>43</v>
      </c>
      <c r="D35" s="69">
        <v>2.5100000000000001E-2</v>
      </c>
      <c r="E35">
        <v>8.5314496054901205</v>
      </c>
      <c r="F35">
        <v>17.510999999999999</v>
      </c>
      <c r="G35" s="69">
        <v>2.3E-2</v>
      </c>
      <c r="H35" s="70">
        <v>137.5</v>
      </c>
      <c r="I35">
        <v>9.48</v>
      </c>
      <c r="J35">
        <v>11.11</v>
      </c>
      <c r="K35" s="69">
        <v>0.1719</v>
      </c>
      <c r="L35">
        <v>0.71979592785276103</v>
      </c>
      <c r="M35">
        <v>14.50422</v>
      </c>
      <c r="N35">
        <v>12.376238000000001</v>
      </c>
      <c r="O35" s="69">
        <v>0.25779999999999997</v>
      </c>
      <c r="P35" t="b">
        <f>NOT(VLOOKUP(C35,Positions!C:C,1,0)=C35)</f>
        <v>0</v>
      </c>
    </row>
    <row r="36" spans="1:16" hidden="1" x14ac:dyDescent="0.25">
      <c r="A36" t="s">
        <v>219</v>
      </c>
      <c r="B36" t="s">
        <v>175</v>
      </c>
      <c r="C36" t="s">
        <v>56</v>
      </c>
      <c r="D36" s="69"/>
      <c r="E36">
        <v>8.0875859937125991</v>
      </c>
      <c r="F36">
        <v>15.000999999999999</v>
      </c>
      <c r="G36" s="69">
        <v>2.18E-2</v>
      </c>
      <c r="H36" s="70">
        <v>44.4</v>
      </c>
      <c r="I36">
        <v>2.39</v>
      </c>
      <c r="J36">
        <v>2.58</v>
      </c>
      <c r="K36" s="69">
        <v>7.9500000000000001E-2</v>
      </c>
      <c r="L36">
        <v>2.1647491668421002</v>
      </c>
      <c r="M36">
        <v>18.577406</v>
      </c>
      <c r="N36">
        <v>17.209302999999998</v>
      </c>
      <c r="O36" s="69">
        <v>0.41889999999999999</v>
      </c>
      <c r="P36" t="b">
        <f>NOT(VLOOKUP(C36,Positions!C:C,1,0)=C36)</f>
        <v>0</v>
      </c>
    </row>
    <row r="37" spans="1:16" hidden="1" x14ac:dyDescent="0.25">
      <c r="A37" t="s">
        <v>174</v>
      </c>
      <c r="B37" t="s">
        <v>174</v>
      </c>
      <c r="C37" t="s">
        <v>97</v>
      </c>
      <c r="D37" s="69"/>
      <c r="E37">
        <v>8.0729203322391907</v>
      </c>
      <c r="F37">
        <v>19.863</v>
      </c>
      <c r="G37" s="69">
        <v>7.6E-3</v>
      </c>
      <c r="H37" s="70">
        <v>379.02</v>
      </c>
      <c r="I37">
        <v>22.53</v>
      </c>
      <c r="J37">
        <v>24.55</v>
      </c>
      <c r="K37" s="69">
        <v>8.9700000000000002E-2</v>
      </c>
      <c r="L37">
        <v>1.7219497198514799</v>
      </c>
      <c r="M37">
        <v>16.822903</v>
      </c>
      <c r="N37">
        <v>15.4386969999999</v>
      </c>
      <c r="O37" s="69">
        <v>0.2853</v>
      </c>
      <c r="P37" t="b">
        <f>NOT(VLOOKUP(C37,Positions!C:C,1,0)=C37)</f>
        <v>0</v>
      </c>
    </row>
    <row r="38" spans="1:16" hidden="1" x14ac:dyDescent="0.25">
      <c r="A38" t="s">
        <v>178</v>
      </c>
      <c r="B38" t="s">
        <v>40</v>
      </c>
      <c r="C38" t="s">
        <v>101</v>
      </c>
      <c r="D38" s="69">
        <v>4.4900000000000002E-2</v>
      </c>
      <c r="E38">
        <v>7.9344361198138298</v>
      </c>
      <c r="F38">
        <v>22.016999999999999</v>
      </c>
      <c r="G38" s="69">
        <v>0</v>
      </c>
      <c r="H38" s="70">
        <v>34.35</v>
      </c>
      <c r="I38">
        <v>4.29</v>
      </c>
      <c r="J38">
        <v>4.7</v>
      </c>
      <c r="K38" s="69">
        <v>9.5600000000000004E-2</v>
      </c>
      <c r="L38">
        <v>0.76471980951219398</v>
      </c>
      <c r="M38">
        <v>8.0069920000000003</v>
      </c>
      <c r="N38">
        <v>7.3085109999999904</v>
      </c>
      <c r="O38" s="69">
        <v>0.47889999999999999</v>
      </c>
      <c r="P38" t="b">
        <f>NOT(VLOOKUP(C38,Positions!C:C,1,0)=C38)</f>
        <v>0</v>
      </c>
    </row>
    <row r="39" spans="1:16" hidden="1" x14ac:dyDescent="0.25">
      <c r="A39" t="s">
        <v>219</v>
      </c>
      <c r="B39" t="s">
        <v>175</v>
      </c>
      <c r="C39" t="s">
        <v>73</v>
      </c>
      <c r="D39" s="69"/>
      <c r="E39">
        <v>7.93400206124518</v>
      </c>
      <c r="F39">
        <v>15.811999999999999</v>
      </c>
      <c r="G39" s="69">
        <v>0</v>
      </c>
      <c r="H39" s="70">
        <v>68.45</v>
      </c>
      <c r="I39">
        <v>6.12</v>
      </c>
      <c r="J39">
        <v>6.98</v>
      </c>
      <c r="K39" s="69">
        <v>0.14050000000000001</v>
      </c>
      <c r="L39">
        <v>0.69786431162790596</v>
      </c>
      <c r="M39">
        <v>11.18464</v>
      </c>
      <c r="N39">
        <v>9.8065899999999999</v>
      </c>
      <c r="O39" s="69">
        <v>0.4027</v>
      </c>
      <c r="P39" t="b">
        <f>NOT(VLOOKUP(C39,Positions!C:C,1,0)=C39)</f>
        <v>0</v>
      </c>
    </row>
    <row r="40" spans="1:16" hidden="1" x14ac:dyDescent="0.25">
      <c r="A40" t="s">
        <v>219</v>
      </c>
      <c r="B40" t="s">
        <v>175</v>
      </c>
      <c r="C40" t="s">
        <v>184</v>
      </c>
      <c r="D40" s="69"/>
      <c r="E40">
        <v>5.6327027632036497</v>
      </c>
      <c r="F40">
        <v>14.336</v>
      </c>
      <c r="G40" s="69">
        <v>2.8899999999999999E-2</v>
      </c>
      <c r="H40" s="70">
        <v>18.62</v>
      </c>
      <c r="I40">
        <v>0.9</v>
      </c>
      <c r="J40">
        <v>1.4</v>
      </c>
      <c r="K40" s="69">
        <v>0.55559999999999998</v>
      </c>
      <c r="L40">
        <v>0.23940001799999999</v>
      </c>
      <c r="M40">
        <v>20.688890000000001</v>
      </c>
      <c r="N40">
        <v>13.300001</v>
      </c>
      <c r="O40" s="69">
        <v>0.43959999999999999</v>
      </c>
      <c r="P40" t="b">
        <f>NOT(VLOOKUP(C40,Positions!C:C,1,0)=C40)</f>
        <v>0</v>
      </c>
    </row>
    <row r="41" spans="1:16" hidden="1" x14ac:dyDescent="0.25">
      <c r="A41" t="s">
        <v>178</v>
      </c>
      <c r="B41" t="s">
        <v>40</v>
      </c>
      <c r="C41" t="s">
        <v>204</v>
      </c>
      <c r="D41" s="69"/>
      <c r="E41">
        <v>4.8087837924487697</v>
      </c>
      <c r="F41">
        <v>18.240998999999999</v>
      </c>
      <c r="G41" s="69">
        <v>3.95E-2</v>
      </c>
      <c r="H41" s="70">
        <v>30.42</v>
      </c>
      <c r="I41">
        <v>1.9</v>
      </c>
      <c r="J41">
        <v>3.82</v>
      </c>
      <c r="K41" s="69">
        <v>1.0105</v>
      </c>
      <c r="L41">
        <v>7.8803994270833302E-2</v>
      </c>
      <c r="M41">
        <v>16.010527</v>
      </c>
      <c r="N41">
        <v>7.9633510000000003</v>
      </c>
      <c r="O41" s="69">
        <v>0.21870000000000001</v>
      </c>
      <c r="P41" t="b">
        <f>NOT(VLOOKUP(C41,Positions!C:C,1,0)=C41)</f>
        <v>0</v>
      </c>
    </row>
    <row r="42" spans="1:16" hidden="1" x14ac:dyDescent="0.25">
      <c r="A42" t="s">
        <v>219</v>
      </c>
      <c r="B42" t="s">
        <v>170</v>
      </c>
      <c r="C42" t="s">
        <v>41</v>
      </c>
      <c r="D42" s="69">
        <v>2.2000000000000001E-3</v>
      </c>
      <c r="E42">
        <v>3.0228864450041999</v>
      </c>
      <c r="F42">
        <v>14.259</v>
      </c>
      <c r="G42" s="69">
        <v>0</v>
      </c>
      <c r="H42" s="70">
        <v>38.619999999999997</v>
      </c>
      <c r="I42">
        <v>1.07</v>
      </c>
      <c r="J42">
        <v>2.99</v>
      </c>
      <c r="K42" s="69">
        <v>1.7944</v>
      </c>
      <c r="L42">
        <v>7.1981953958333303E-2</v>
      </c>
      <c r="M42">
        <v>36.093456000000003</v>
      </c>
      <c r="N42">
        <v>12.916388</v>
      </c>
      <c r="O42" s="69">
        <v>0.44740000000000002</v>
      </c>
      <c r="P42" t="b">
        <f>NOT(VLOOKUP(C42,Positions!C:C,1,0)=C42)</f>
        <v>0</v>
      </c>
    </row>
    <row r="43" spans="1:16" hidden="1" x14ac:dyDescent="0.25">
      <c r="A43" t="s">
        <v>219</v>
      </c>
      <c r="B43" t="s">
        <v>170</v>
      </c>
      <c r="C43" t="s">
        <v>55</v>
      </c>
      <c r="D43" s="69"/>
      <c r="E43">
        <v>2.7469543815742399</v>
      </c>
      <c r="F43">
        <v>6.2409999999999997</v>
      </c>
      <c r="G43" s="69">
        <v>9.5999999999999992E-3</v>
      </c>
      <c r="H43" s="70">
        <v>98</v>
      </c>
      <c r="I43">
        <v>2.34</v>
      </c>
      <c r="J43">
        <v>2.72</v>
      </c>
      <c r="K43" s="69">
        <v>0.16239999999999999</v>
      </c>
      <c r="L43">
        <v>2.2186531421052602</v>
      </c>
      <c r="M43">
        <v>41.880344000000001</v>
      </c>
      <c r="N43">
        <v>36.029409999999999</v>
      </c>
      <c r="O43" s="69">
        <v>0.2407</v>
      </c>
      <c r="P43" t="b">
        <f>NOT(VLOOKUP(C43,Positions!C:C,1,0)=C43)</f>
        <v>0</v>
      </c>
    </row>
    <row r="44" spans="1:16" hidden="1" x14ac:dyDescent="0.25">
      <c r="A44" t="s">
        <v>219</v>
      </c>
      <c r="B44" t="s">
        <v>170</v>
      </c>
      <c r="C44" t="s">
        <v>96</v>
      </c>
      <c r="D44" s="69">
        <v>6.8199999999999997E-2</v>
      </c>
      <c r="E44">
        <v>1.1924235552220599</v>
      </c>
      <c r="F44">
        <v>4.6609997999999999</v>
      </c>
      <c r="G44" s="69">
        <v>2.7099999999999999E-2</v>
      </c>
      <c r="H44" s="70">
        <v>21.69</v>
      </c>
      <c r="I44">
        <v>1.64</v>
      </c>
      <c r="J44">
        <v>2.27</v>
      </c>
      <c r="K44" s="69">
        <v>0.3841</v>
      </c>
      <c r="L44">
        <v>0.248735051428571</v>
      </c>
      <c r="M44">
        <v>13.22561</v>
      </c>
      <c r="N44">
        <v>9.5550660000000001</v>
      </c>
      <c r="O44" s="69">
        <v>0.25359999999999999</v>
      </c>
      <c r="P44" t="b">
        <f>NOT(VLOOKUP(C44,Positions!C:C,1,0)=C44)</f>
        <v>0</v>
      </c>
    </row>
    <row r="45" spans="1:16" hidden="1" x14ac:dyDescent="0.25">
      <c r="A45" t="s">
        <v>221</v>
      </c>
      <c r="B45" t="s">
        <v>218</v>
      </c>
      <c r="C45" t="s">
        <v>78</v>
      </c>
      <c r="D45" s="69"/>
      <c r="G45" s="69">
        <v>0</v>
      </c>
      <c r="H45" s="70">
        <v>3340.3</v>
      </c>
      <c r="I45">
        <v>0</v>
      </c>
      <c r="J45">
        <v>0</v>
      </c>
      <c r="K45" s="69"/>
      <c r="M45">
        <v>0</v>
      </c>
      <c r="N45">
        <v>0</v>
      </c>
      <c r="O45" s="69">
        <v>0.18279999999999999</v>
      </c>
      <c r="P45" t="b">
        <f>NOT(VLOOKUP(C45,Positions!C:C,1,0)=C45)</f>
        <v>0</v>
      </c>
    </row>
    <row r="46" spans="1:16" hidden="1" x14ac:dyDescent="0.25">
      <c r="A46" t="s">
        <v>221</v>
      </c>
      <c r="B46" t="s">
        <v>218</v>
      </c>
      <c r="C46" t="s">
        <v>201</v>
      </c>
      <c r="D46" s="69"/>
      <c r="G46" s="69">
        <v>0</v>
      </c>
      <c r="H46" s="70">
        <v>144.93</v>
      </c>
      <c r="I46">
        <v>0</v>
      </c>
      <c r="J46">
        <v>0</v>
      </c>
      <c r="K46" s="69"/>
      <c r="M46">
        <v>0</v>
      </c>
      <c r="N46">
        <v>0</v>
      </c>
      <c r="O46" s="69">
        <v>0.1143</v>
      </c>
      <c r="P46" t="b">
        <f>NOT(VLOOKUP(C46,Positions!C:C,1,0)=C46)</f>
        <v>0</v>
      </c>
    </row>
    <row r="47" spans="1:16" hidden="1" x14ac:dyDescent="0.25">
      <c r="A47" t="s">
        <v>221</v>
      </c>
      <c r="B47" t="s">
        <v>218</v>
      </c>
      <c r="C47" t="s">
        <v>202</v>
      </c>
      <c r="D47" s="69"/>
      <c r="G47" s="69">
        <v>0</v>
      </c>
      <c r="H47" s="70">
        <v>18.98</v>
      </c>
      <c r="I47">
        <v>0</v>
      </c>
      <c r="J47">
        <v>0</v>
      </c>
      <c r="K47" s="69"/>
      <c r="M47">
        <v>0</v>
      </c>
      <c r="N47">
        <v>0</v>
      </c>
      <c r="O47" s="69">
        <v>0.1361</v>
      </c>
      <c r="P47" t="b">
        <f>NOT(VLOOKUP(C47,Positions!C:C,1,0)=C47)</f>
        <v>0</v>
      </c>
    </row>
    <row r="48" spans="1:16" hidden="1" x14ac:dyDescent="0.25">
      <c r="A48" t="s">
        <v>221</v>
      </c>
      <c r="B48" t="s">
        <v>218</v>
      </c>
      <c r="C48" t="s">
        <v>222</v>
      </c>
      <c r="D48" s="69"/>
      <c r="G48" s="69">
        <v>0</v>
      </c>
      <c r="H48" s="70">
        <v>0</v>
      </c>
      <c r="I48">
        <v>0</v>
      </c>
      <c r="J48">
        <v>0</v>
      </c>
      <c r="K48" s="69"/>
      <c r="M48">
        <v>0</v>
      </c>
      <c r="N48">
        <v>0</v>
      </c>
      <c r="O48" s="69"/>
      <c r="P48" t="e">
        <f>NOT(VLOOKUP(C48,Positions!C:C,1,0)=C48)</f>
        <v>#N/A</v>
      </c>
    </row>
    <row r="49" spans="1:16" hidden="1" x14ac:dyDescent="0.25">
      <c r="A49" t="s">
        <v>178</v>
      </c>
      <c r="B49" t="s">
        <v>218</v>
      </c>
      <c r="C49" t="s">
        <v>224</v>
      </c>
      <c r="D49" s="69"/>
      <c r="G49" s="69">
        <v>0</v>
      </c>
      <c r="H49" s="70">
        <v>0</v>
      </c>
      <c r="I49">
        <v>0</v>
      </c>
      <c r="J49">
        <v>0</v>
      </c>
      <c r="K49" s="69"/>
      <c r="M49">
        <v>0</v>
      </c>
      <c r="N49">
        <v>0</v>
      </c>
      <c r="O49" s="69"/>
      <c r="P49" t="b">
        <f>NOT(VLOOKUP(C49,Positions!C:C,1,0)=C49)</f>
        <v>0</v>
      </c>
    </row>
    <row r="50" spans="1:16" hidden="1" x14ac:dyDescent="0.25">
      <c r="A50" t="s">
        <v>113</v>
      </c>
      <c r="B50" t="s">
        <v>218</v>
      </c>
      <c r="C50" t="s">
        <v>197</v>
      </c>
      <c r="D50" s="69">
        <v>1.84E-2</v>
      </c>
      <c r="G50" s="69">
        <v>0</v>
      </c>
      <c r="H50" s="70">
        <v>15.21</v>
      </c>
      <c r="I50">
        <v>0</v>
      </c>
      <c r="J50">
        <v>0</v>
      </c>
      <c r="K50" s="69"/>
      <c r="M50">
        <v>0</v>
      </c>
      <c r="N50">
        <v>0</v>
      </c>
      <c r="O50" s="69">
        <v>0.255</v>
      </c>
      <c r="P50" t="b">
        <f>NOT(VLOOKUP(C50,Positions!C:C,1,0)=C50)</f>
        <v>0</v>
      </c>
    </row>
    <row r="51" spans="1:16" hidden="1" x14ac:dyDescent="0.25">
      <c r="A51" t="s">
        <v>113</v>
      </c>
      <c r="B51" t="s">
        <v>218</v>
      </c>
      <c r="C51" t="s">
        <v>164</v>
      </c>
      <c r="D51" s="69">
        <v>7.6799999999999993E-2</v>
      </c>
      <c r="G51" s="69">
        <v>3.7499999999999999E-2</v>
      </c>
      <c r="H51" s="70">
        <v>73.28</v>
      </c>
      <c r="I51">
        <v>0</v>
      </c>
      <c r="J51">
        <v>0</v>
      </c>
      <c r="K51" s="69"/>
      <c r="M51">
        <v>0</v>
      </c>
      <c r="N51">
        <v>0</v>
      </c>
      <c r="O51" s="69">
        <v>5.2600000000000001E-2</v>
      </c>
      <c r="P51" t="b">
        <f>NOT(VLOOKUP(C51,Positions!C:C,1,0)=C51)</f>
        <v>0</v>
      </c>
    </row>
    <row r="52" spans="1:16" hidden="1" x14ac:dyDescent="0.25">
      <c r="A52" t="s">
        <v>113</v>
      </c>
      <c r="B52" t="s">
        <v>218</v>
      </c>
      <c r="C52" t="s">
        <v>196</v>
      </c>
      <c r="D52" s="69">
        <v>2.1600000000000001E-2</v>
      </c>
      <c r="G52" s="69">
        <v>0</v>
      </c>
      <c r="H52" s="70">
        <v>20.55</v>
      </c>
      <c r="I52">
        <v>0</v>
      </c>
      <c r="J52">
        <v>0</v>
      </c>
      <c r="K52" s="69"/>
      <c r="M52">
        <v>31.338073999999999</v>
      </c>
      <c r="N52">
        <v>0</v>
      </c>
      <c r="O52" s="69">
        <v>0.26040000000000002</v>
      </c>
      <c r="P52" t="b">
        <f>NOT(VLOOKUP(C52,Positions!C:C,1,0)=C52)</f>
        <v>0</v>
      </c>
    </row>
    <row r="53" spans="1:16" hidden="1" x14ac:dyDescent="0.25">
      <c r="A53" t="s">
        <v>113</v>
      </c>
      <c r="B53" t="s">
        <v>218</v>
      </c>
      <c r="C53" t="s">
        <v>200</v>
      </c>
      <c r="D53" s="69"/>
      <c r="G53" s="69">
        <v>0</v>
      </c>
      <c r="H53" s="70">
        <v>6.27</v>
      </c>
      <c r="I53">
        <v>0</v>
      </c>
      <c r="J53">
        <v>0</v>
      </c>
      <c r="K53" s="69"/>
      <c r="M53">
        <v>0</v>
      </c>
      <c r="N53">
        <v>0</v>
      </c>
      <c r="O53" s="69">
        <v>2.7199999999999998E-2</v>
      </c>
      <c r="P53" t="b">
        <f>NOT(VLOOKUP(C53,Positions!C:C,1,0)=C53)</f>
        <v>0</v>
      </c>
    </row>
    <row r="54" spans="1:16" hidden="1" x14ac:dyDescent="0.25">
      <c r="A54" t="s">
        <v>113</v>
      </c>
      <c r="B54" t="s">
        <v>218</v>
      </c>
      <c r="C54" t="s">
        <v>203</v>
      </c>
      <c r="D54" s="69"/>
      <c r="G54" s="69">
        <v>0</v>
      </c>
      <c r="H54" s="70">
        <v>6.13</v>
      </c>
      <c r="I54">
        <v>0</v>
      </c>
      <c r="J54">
        <v>0</v>
      </c>
      <c r="K54" s="69"/>
      <c r="M54">
        <v>0</v>
      </c>
      <c r="N54">
        <v>0</v>
      </c>
      <c r="O54" s="69">
        <v>2.6700000000000002E-2</v>
      </c>
      <c r="P54" t="b">
        <f>NOT(VLOOKUP(C54,Positions!C:C,1,0)=C54)</f>
        <v>0</v>
      </c>
    </row>
    <row r="55" spans="1:16" hidden="1" x14ac:dyDescent="0.25">
      <c r="A55" s="71" t="s">
        <v>113</v>
      </c>
      <c r="B55" s="71" t="s">
        <v>218</v>
      </c>
      <c r="C55" s="71" t="s">
        <v>114</v>
      </c>
      <c r="D55" s="72"/>
      <c r="E55" s="71"/>
      <c r="F55" s="71"/>
      <c r="G55" s="72">
        <v>0</v>
      </c>
      <c r="H55" s="73">
        <v>48.34</v>
      </c>
      <c r="I55" s="71">
        <v>0</v>
      </c>
      <c r="J55" s="71">
        <v>0</v>
      </c>
      <c r="K55" s="72"/>
      <c r="L55" s="71"/>
      <c r="M55" s="71">
        <v>0</v>
      </c>
      <c r="N55" s="71">
        <v>0</v>
      </c>
      <c r="O55" s="72">
        <v>0.48420000000000002</v>
      </c>
      <c r="P55" t="b">
        <f>NOT(VLOOKUP(C55,Positions!C:C,1,0)=C55)</f>
        <v>0</v>
      </c>
    </row>
    <row r="56" spans="1:16" hidden="1" x14ac:dyDescent="0.25">
      <c r="A56" t="s">
        <v>113</v>
      </c>
      <c r="B56" t="s">
        <v>218</v>
      </c>
      <c r="C56" t="s">
        <v>206</v>
      </c>
      <c r="G56" s="29">
        <v>3.1E-2</v>
      </c>
      <c r="H56" s="67">
        <v>73.260000000000005</v>
      </c>
      <c r="I56">
        <v>0</v>
      </c>
      <c r="J56">
        <v>0</v>
      </c>
      <c r="K56" s="29"/>
      <c r="M56">
        <v>15.080513</v>
      </c>
      <c r="N56">
        <v>0</v>
      </c>
      <c r="O56" s="29">
        <v>0.13900000000000001</v>
      </c>
      <c r="P56" t="b">
        <f>NOT(VLOOKUP(C56,Positions!C:C,1,0)=C56)</f>
        <v>0</v>
      </c>
    </row>
    <row r="57" spans="1:16" hidden="1" x14ac:dyDescent="0.25">
      <c r="A57" t="s">
        <v>113</v>
      </c>
      <c r="B57" t="s">
        <v>218</v>
      </c>
      <c r="C57" t="s">
        <v>165</v>
      </c>
      <c r="D57">
        <v>0.1027</v>
      </c>
      <c r="G57" s="29">
        <v>3.0200000000000001E-2</v>
      </c>
      <c r="H57" s="67">
        <v>48.99</v>
      </c>
      <c r="I57">
        <v>0</v>
      </c>
      <c r="J57">
        <v>0</v>
      </c>
      <c r="K57" s="29"/>
      <c r="M57">
        <v>15.763890999999999</v>
      </c>
      <c r="N57">
        <v>0</v>
      </c>
      <c r="O57" s="29">
        <v>0.1875</v>
      </c>
      <c r="P57" t="b">
        <f>NOT(VLOOKUP(C57,Positions!C:C,1,0)=C57)</f>
        <v>0</v>
      </c>
    </row>
    <row r="58" spans="1:16" hidden="1" x14ac:dyDescent="0.25">
      <c r="A58" t="s">
        <v>174</v>
      </c>
      <c r="B58" t="s">
        <v>218</v>
      </c>
      <c r="C58" t="s">
        <v>98</v>
      </c>
      <c r="D58">
        <v>2.9999999999999997E-4</v>
      </c>
      <c r="G58" s="29">
        <v>0</v>
      </c>
      <c r="H58" s="67">
        <v>0</v>
      </c>
      <c r="I58">
        <v>0</v>
      </c>
      <c r="J58">
        <v>0</v>
      </c>
      <c r="K58" s="29"/>
      <c r="M58">
        <v>0</v>
      </c>
      <c r="N58">
        <v>0</v>
      </c>
      <c r="O58" s="29"/>
      <c r="P58" t="b">
        <f>NOT(VLOOKUP(C58,Positions!C:C,1,0)=C58)</f>
        <v>0</v>
      </c>
    </row>
    <row r="59" spans="1:16" hidden="1" x14ac:dyDescent="0.25">
      <c r="A59" t="s">
        <v>223</v>
      </c>
      <c r="B59" t="s">
        <v>218</v>
      </c>
      <c r="C59" t="s">
        <v>199</v>
      </c>
      <c r="G59" s="29">
        <v>0</v>
      </c>
      <c r="H59" s="67">
        <v>17.48</v>
      </c>
      <c r="I59">
        <v>0</v>
      </c>
      <c r="J59">
        <v>0</v>
      </c>
      <c r="K59" s="29"/>
      <c r="M59">
        <v>0</v>
      </c>
      <c r="N59">
        <v>0</v>
      </c>
      <c r="O59" s="29">
        <v>0.17480000000000001</v>
      </c>
      <c r="P59" t="e">
        <f>NOT(VLOOKUP(C59,Positions!C:C,1,0)=C59)</f>
        <v>#N/A</v>
      </c>
    </row>
    <row r="60" spans="1:16" hidden="1" x14ac:dyDescent="0.25">
      <c r="A60" t="s">
        <v>223</v>
      </c>
      <c r="B60" t="s">
        <v>218</v>
      </c>
      <c r="C60" t="s">
        <v>205</v>
      </c>
      <c r="G60" s="29">
        <v>1.21E-2</v>
      </c>
      <c r="H60" s="67">
        <v>606.78</v>
      </c>
      <c r="I60">
        <v>0</v>
      </c>
      <c r="J60">
        <v>0</v>
      </c>
      <c r="K60" s="29"/>
      <c r="M60">
        <v>26.229430000000001</v>
      </c>
      <c r="N60">
        <v>0</v>
      </c>
      <c r="O60" s="29">
        <v>0.20580000000000001</v>
      </c>
      <c r="P60" t="e">
        <f>NOT(VLOOKUP(C60,Positions!C:C,1,0)=C60)</f>
        <v>#N/A</v>
      </c>
    </row>
    <row r="61" spans="1:16" x14ac:dyDescent="0.25">
      <c r="A61" t="s">
        <v>169</v>
      </c>
      <c r="B61" t="s">
        <v>218</v>
      </c>
      <c r="C61" t="s">
        <v>182</v>
      </c>
      <c r="G61" s="29">
        <v>0</v>
      </c>
      <c r="H61" s="67">
        <v>0</v>
      </c>
      <c r="I61">
        <v>0</v>
      </c>
      <c r="J61">
        <v>0</v>
      </c>
      <c r="K61" s="29"/>
      <c r="M61">
        <v>0</v>
      </c>
      <c r="N61">
        <v>0</v>
      </c>
      <c r="O61" s="29"/>
      <c r="P61" t="b">
        <f>NOT(VLOOKUP(C61,Positions!C:C,1,0)=C61)</f>
        <v>0</v>
      </c>
    </row>
    <row r="62" spans="1:16" hidden="1" x14ac:dyDescent="0.25">
      <c r="A62" t="s">
        <v>169</v>
      </c>
      <c r="B62" t="s">
        <v>218</v>
      </c>
      <c r="C62" t="s">
        <v>185</v>
      </c>
      <c r="G62" s="29">
        <v>0</v>
      </c>
      <c r="H62" s="67">
        <v>0</v>
      </c>
      <c r="I62">
        <v>0</v>
      </c>
      <c r="J62">
        <v>0</v>
      </c>
      <c r="K62" s="29"/>
      <c r="M62">
        <v>0</v>
      </c>
      <c r="N62">
        <v>0</v>
      </c>
      <c r="O62" s="29"/>
      <c r="P62" t="b">
        <f>NOT(VLOOKUP(C62,Positions!C:C,1,0)=C62)</f>
        <v>0</v>
      </c>
    </row>
    <row r="63" spans="1:16" hidden="1" x14ac:dyDescent="0.25">
      <c r="A63" t="s">
        <v>169</v>
      </c>
      <c r="B63" t="s">
        <v>169</v>
      </c>
      <c r="C63" t="s">
        <v>44</v>
      </c>
      <c r="E63">
        <v>-0.175262500638807</v>
      </c>
      <c r="F63">
        <v>8.8729999999999993</v>
      </c>
      <c r="G63" s="29">
        <v>0</v>
      </c>
      <c r="H63" s="67">
        <v>10.61</v>
      </c>
      <c r="I63">
        <v>-0.34</v>
      </c>
      <c r="J63">
        <v>2.89</v>
      </c>
      <c r="K63" s="29">
        <v>-9.5</v>
      </c>
      <c r="L63">
        <v>-3.8645052631578899E-3</v>
      </c>
      <c r="M63">
        <v>0</v>
      </c>
      <c r="N63">
        <v>3.6712799999999999</v>
      </c>
      <c r="O63" s="29">
        <v>0.83799999999999997</v>
      </c>
      <c r="P63" t="b">
        <f>NOT(VLOOKUP(C63,Positions!C:C,1,0)=C63)</f>
        <v>0</v>
      </c>
    </row>
    <row r="64" spans="1:16" hidden="1" x14ac:dyDescent="0.25">
      <c r="A64" t="s">
        <v>169</v>
      </c>
      <c r="B64" t="s">
        <v>169</v>
      </c>
      <c r="C64" t="s">
        <v>48</v>
      </c>
      <c r="D64" s="29"/>
      <c r="E64">
        <v>-2.2559978450246301</v>
      </c>
      <c r="F64">
        <v>3.5609999999999999</v>
      </c>
      <c r="G64" s="29">
        <v>0.1288</v>
      </c>
      <c r="H64">
        <v>20.440000000000001</v>
      </c>
      <c r="I64">
        <v>-5.01</v>
      </c>
      <c r="J64">
        <v>1.93</v>
      </c>
      <c r="K64" s="29">
        <v>-1.3852</v>
      </c>
      <c r="L64">
        <v>-7.6454289250720397E-2</v>
      </c>
      <c r="M64">
        <v>0</v>
      </c>
      <c r="N64">
        <v>10.590674</v>
      </c>
      <c r="O64" s="29">
        <v>0.7329</v>
      </c>
      <c r="P64" t="b">
        <f>NOT(VLOOKUP(C64,Positions!C:C,1,0)=C64)</f>
        <v>0</v>
      </c>
    </row>
    <row r="65" spans="1:16" hidden="1" x14ac:dyDescent="0.25">
      <c r="A65" t="s">
        <v>169</v>
      </c>
      <c r="B65" t="s">
        <v>169</v>
      </c>
      <c r="C65" t="s">
        <v>50</v>
      </c>
      <c r="E65">
        <v>-120.676248998129</v>
      </c>
      <c r="F65">
        <v>-80.991</v>
      </c>
      <c r="G65">
        <v>0</v>
      </c>
      <c r="H65">
        <v>2.92</v>
      </c>
      <c r="I65">
        <v>-96</v>
      </c>
      <c r="J65">
        <v>-5.52</v>
      </c>
      <c r="K65">
        <v>-0.9425</v>
      </c>
      <c r="L65">
        <v>5.6125782493368697E-3</v>
      </c>
      <c r="M65">
        <v>0</v>
      </c>
      <c r="N65">
        <v>-0.5289855</v>
      </c>
      <c r="O65">
        <v>1.6769000000000001</v>
      </c>
      <c r="P65" t="b">
        <f>NOT(VLOOKUP(C65,Positions!C:C,1,0)=C65)</f>
        <v>0</v>
      </c>
    </row>
  </sheetData>
  <autoFilter ref="A1:P65" xr:uid="{78284B8E-C6BC-4AD0-AC00-4DC6C8976553}">
    <filterColumn colId="2">
      <filters>
        <filter val="AVGO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4B0C-3879-4A30-880B-B04980CC1636}">
  <dimension ref="A1:DU31"/>
  <sheetViews>
    <sheetView zoomScale="115" zoomScaleNormal="115" workbookViewId="0">
      <selection activeCell="A14" sqref="A14:H14"/>
    </sheetView>
  </sheetViews>
  <sheetFormatPr defaultRowHeight="15" outlineLevelCol="2" x14ac:dyDescent="0.25"/>
  <cols>
    <col min="1" max="1" width="22" bestFit="1" customWidth="1"/>
    <col min="2" max="2" width="15.140625" customWidth="1"/>
    <col min="3" max="3" width="3.7109375" bestFit="1" customWidth="1"/>
    <col min="4" max="4" width="9.140625" customWidth="1"/>
    <col min="5" max="5" width="9.140625" bestFit="1" customWidth="1"/>
    <col min="6" max="6" width="8.5703125" bestFit="1" customWidth="1"/>
    <col min="7" max="7" width="10.7109375" bestFit="1" customWidth="1"/>
    <col min="8" max="8" width="9.140625" bestFit="1" customWidth="1"/>
    <col min="9" max="10" width="11" customWidth="1"/>
    <col min="11" max="11" width="14.28515625" customWidth="1" outlineLevel="1"/>
    <col min="12" max="12" width="15.140625" customWidth="1" outlineLevel="1"/>
    <col min="13" max="13" width="6" bestFit="1" customWidth="1" outlineLevel="1"/>
    <col min="14" max="14" width="10.140625" hidden="1" customWidth="1" outlineLevel="2"/>
    <col min="15" max="15" width="12" hidden="1" customWidth="1" outlineLevel="2"/>
    <col min="16" max="16" width="15.5703125" hidden="1" customWidth="1" outlineLevel="2"/>
    <col min="17" max="17" width="6" customWidth="1" outlineLevel="1" collapsed="1"/>
    <col min="18" max="18" width="15.140625" customWidth="1" outlineLevel="1"/>
    <col min="19" max="19" width="6" bestFit="1" customWidth="1" outlineLevel="1"/>
    <col min="20" max="20" width="9.140625" customWidth="1" outlineLevel="1"/>
    <col min="21" max="21" width="14.28515625" customWidth="1" outlineLevel="1"/>
    <col min="22" max="22" width="15.140625" customWidth="1" outlineLevel="1"/>
    <col min="23" max="23" width="5.5703125" customWidth="1" outlineLevel="1"/>
    <col min="24" max="24" width="15.140625" hidden="1" customWidth="1" outlineLevel="2"/>
    <col min="25" max="25" width="10.5703125" hidden="1" customWidth="1" outlineLevel="2"/>
    <col min="26" max="26" width="15" hidden="1" customWidth="1" outlineLevel="2"/>
    <col min="27" max="27" width="9.140625" customWidth="1" outlineLevel="1" collapsed="1"/>
    <col min="28" max="28" width="14.28515625" customWidth="1" outlineLevel="1"/>
    <col min="29" max="29" width="15.140625" customWidth="1" outlineLevel="1"/>
    <col min="30" max="30" width="5.5703125" customWidth="1" outlineLevel="1"/>
    <col min="31" max="31" width="15.140625" hidden="1" customWidth="1" outlineLevel="2"/>
    <col min="32" max="32" width="10.5703125" hidden="1" customWidth="1" outlineLevel="2"/>
    <col min="33" max="33" width="15.5703125" hidden="1" customWidth="1" outlineLevel="2"/>
    <col min="34" max="34" width="9.140625" customWidth="1" outlineLevel="1" collapsed="1"/>
    <col min="35" max="35" width="14.28515625" customWidth="1" outlineLevel="1"/>
    <col min="36" max="36" width="15.140625" customWidth="1" outlineLevel="1"/>
    <col min="37" max="37" width="5.5703125" customWidth="1" outlineLevel="1"/>
    <col min="38" max="38" width="15.140625" hidden="1" customWidth="1" outlineLevel="2"/>
    <col min="39" max="39" width="10.5703125" hidden="1" customWidth="1" outlineLevel="2"/>
    <col min="40" max="40" width="15.5703125" hidden="1" customWidth="1" outlineLevel="2"/>
    <col min="41" max="41" width="9.140625" customWidth="1" outlineLevel="1" collapsed="1"/>
    <col min="42" max="42" width="14.28515625" customWidth="1" outlineLevel="1"/>
    <col min="43" max="43" width="10.5703125" customWidth="1" outlineLevel="1"/>
    <col min="44" max="44" width="9.140625" customWidth="1" outlineLevel="1"/>
    <col min="45" max="48" width="9.140625" customWidth="1" outlineLevel="2"/>
    <col min="49" max="49" width="9.140625" customWidth="1" outlineLevel="1"/>
    <col min="50" max="50" width="14.28515625" customWidth="1" outlineLevel="1"/>
    <col min="51" max="51" width="15.140625" customWidth="1" outlineLevel="1"/>
    <col min="52" max="52" width="6" bestFit="1" customWidth="1" outlineLevel="1"/>
    <col min="53" max="54" width="9.140625" bestFit="1" customWidth="1" outlineLevel="2"/>
    <col min="55" max="55" width="9.7109375" bestFit="1" customWidth="1" outlineLevel="2"/>
    <col min="56" max="56" width="9.140625" bestFit="1" customWidth="1" outlineLevel="2"/>
    <col min="57" max="57" width="8.5703125" bestFit="1" customWidth="1" outlineLevel="2"/>
    <col min="58" max="58" width="8.5703125" bestFit="1" customWidth="1" outlineLevel="1"/>
    <col min="59" max="59" width="7.28515625" bestFit="1" customWidth="1" outlineLevel="1"/>
    <col min="60" max="60" width="9.140625" customWidth="1" outlineLevel="1" collapsed="1"/>
    <col min="61" max="61" width="14.28515625" bestFit="1" customWidth="1" outlineLevel="1"/>
    <col min="62" max="62" width="15.140625" customWidth="1" outlineLevel="1"/>
    <col min="63" max="63" width="6" bestFit="1" customWidth="1" outlineLevel="1"/>
    <col min="64" max="64" width="9.140625" customWidth="1" outlineLevel="1"/>
    <col min="65" max="65" width="9.140625" bestFit="1" customWidth="1" outlineLevel="1"/>
    <col min="66" max="66" width="9.7109375" customWidth="1" outlineLevel="1"/>
    <col min="67" max="67" width="9.140625" bestFit="1" customWidth="1" outlineLevel="1"/>
    <col min="68" max="69" width="9.140625" customWidth="1"/>
    <col min="70" max="70" width="11" bestFit="1" customWidth="1"/>
    <col min="71" max="71" width="7.28515625" bestFit="1" customWidth="1"/>
    <col min="72" max="72" width="14.28515625" bestFit="1" customWidth="1"/>
    <col min="73" max="73" width="15.140625" bestFit="1" customWidth="1"/>
    <col min="74" max="74" width="6" bestFit="1" customWidth="1"/>
    <col min="77" max="77" width="9.7109375" bestFit="1" customWidth="1"/>
    <col min="80" max="80" width="8.140625" bestFit="1" customWidth="1"/>
    <col min="81" max="81" width="11" bestFit="1" customWidth="1"/>
    <col min="82" max="82" width="9.28515625" bestFit="1" customWidth="1"/>
    <col min="83" max="83" width="14.28515625" bestFit="1" customWidth="1"/>
    <col min="84" max="84" width="15.140625" bestFit="1" customWidth="1"/>
    <col min="85" max="85" width="6" bestFit="1" customWidth="1"/>
    <col min="88" max="88" width="9.7109375" bestFit="1" customWidth="1"/>
    <col min="92" max="92" width="10.140625" bestFit="1" customWidth="1"/>
    <col min="94" max="94" width="14.28515625" bestFit="1" customWidth="1"/>
    <col min="95" max="95" width="15.140625" bestFit="1" customWidth="1"/>
    <col min="96" max="96" width="6" bestFit="1" customWidth="1"/>
    <col min="99" max="99" width="9.7109375" bestFit="1" customWidth="1"/>
    <col min="102" max="102" width="8.5703125" bestFit="1" customWidth="1"/>
    <col min="103" max="103" width="7.7109375" customWidth="1"/>
    <col min="104" max="104" width="9.85546875" bestFit="1" customWidth="1"/>
    <col min="105" max="105" width="14.28515625" bestFit="1" customWidth="1"/>
    <col min="106" max="106" width="11" customWidth="1"/>
    <col min="107" max="107" width="6" bestFit="1" customWidth="1"/>
    <col min="110" max="110" width="9.7109375" hidden="1" customWidth="1"/>
    <col min="116" max="116" width="14.28515625" bestFit="1" customWidth="1"/>
    <col min="117" max="117" width="15.140625" bestFit="1" customWidth="1"/>
    <col min="118" max="118" width="6" bestFit="1" customWidth="1"/>
    <col min="121" max="121" width="9.7109375" bestFit="1" customWidth="1"/>
    <col min="124" max="124" width="8.5703125" bestFit="1" customWidth="1"/>
    <col min="125" max="125" width="7.7109375" bestFit="1" customWidth="1"/>
  </cols>
  <sheetData>
    <row r="1" spans="1:125" x14ac:dyDescent="0.25">
      <c r="A1" s="20" t="s">
        <v>152</v>
      </c>
      <c r="B1" t="s">
        <v>153</v>
      </c>
      <c r="L1" s="75" t="s">
        <v>112</v>
      </c>
      <c r="M1" s="75"/>
      <c r="N1" s="75"/>
      <c r="O1" s="75"/>
      <c r="P1" s="75"/>
      <c r="Q1" s="26"/>
      <c r="R1" s="75" t="s">
        <v>107</v>
      </c>
      <c r="S1" s="75"/>
      <c r="V1" s="75" t="s">
        <v>106</v>
      </c>
      <c r="W1" s="75"/>
      <c r="X1" s="75"/>
      <c r="Y1" s="75"/>
      <c r="Z1" s="75"/>
      <c r="AC1" s="75" t="s">
        <v>106</v>
      </c>
      <c r="AD1" s="75"/>
      <c r="AE1" s="75"/>
      <c r="AF1" s="75"/>
      <c r="AG1" s="75"/>
      <c r="AJ1" s="75" t="s">
        <v>126</v>
      </c>
      <c r="AK1" s="75"/>
      <c r="AL1" s="75"/>
      <c r="AM1" s="75"/>
      <c r="AN1" s="75"/>
      <c r="AQ1" s="75" t="s">
        <v>134</v>
      </c>
      <c r="AR1" s="75"/>
      <c r="AS1" s="75"/>
      <c r="AT1" s="75"/>
      <c r="AU1" s="75"/>
      <c r="AV1" s="75"/>
      <c r="AY1" s="75" t="s">
        <v>137</v>
      </c>
      <c r="AZ1" s="75"/>
      <c r="BA1" s="75"/>
      <c r="BB1" s="75"/>
      <c r="BC1" s="75"/>
      <c r="BD1" s="75"/>
      <c r="BE1" s="75"/>
      <c r="BF1" s="75"/>
      <c r="BG1" t="s">
        <v>154</v>
      </c>
      <c r="BH1" t="s">
        <v>155</v>
      </c>
      <c r="BJ1" s="75" t="s">
        <v>139</v>
      </c>
      <c r="BK1" s="75"/>
      <c r="BL1" s="75"/>
      <c r="BM1" s="75"/>
      <c r="BN1" s="75"/>
      <c r="BO1" s="75"/>
      <c r="BP1" s="75"/>
      <c r="BQ1" s="75"/>
      <c r="BR1" s="10" t="s">
        <v>156</v>
      </c>
      <c r="BS1" s="10" t="s">
        <v>157</v>
      </c>
      <c r="BU1" s="75" t="s">
        <v>139</v>
      </c>
      <c r="BV1" s="75"/>
      <c r="BW1" s="75"/>
      <c r="BX1" s="75"/>
      <c r="BY1" s="75"/>
      <c r="BZ1" s="75"/>
      <c r="CA1" s="75"/>
      <c r="CB1" s="75"/>
      <c r="CC1" s="10" t="s">
        <v>156</v>
      </c>
      <c r="CD1" s="10" t="s">
        <v>157</v>
      </c>
      <c r="CF1" s="75" t="s">
        <v>159</v>
      </c>
      <c r="CG1" s="75"/>
      <c r="CH1" s="75"/>
      <c r="CI1" s="75"/>
      <c r="CJ1" s="75"/>
      <c r="CK1" s="75"/>
      <c r="CL1" s="75"/>
      <c r="CM1" s="75"/>
      <c r="CN1" s="10" t="s">
        <v>156</v>
      </c>
      <c r="CO1" s="10" t="s">
        <v>157</v>
      </c>
      <c r="CQ1" s="75" t="s">
        <v>158</v>
      </c>
      <c r="CR1" s="75"/>
      <c r="CS1" s="75"/>
      <c r="CT1" s="75"/>
      <c r="CU1" s="75"/>
      <c r="CV1" s="75"/>
      <c r="CW1" s="75"/>
      <c r="CX1" s="75"/>
      <c r="CY1" s="10" t="s">
        <v>156</v>
      </c>
      <c r="CZ1" s="10" t="s">
        <v>157</v>
      </c>
      <c r="DB1" s="75" t="s">
        <v>162</v>
      </c>
      <c r="DC1" s="75"/>
      <c r="DD1" s="75"/>
      <c r="DE1" s="75"/>
      <c r="DF1" s="75"/>
      <c r="DG1" s="75"/>
      <c r="DH1" s="75"/>
      <c r="DI1" s="75"/>
      <c r="DM1" s="75" t="s">
        <v>167</v>
      </c>
      <c r="DN1" s="75"/>
      <c r="DO1" s="75"/>
      <c r="DP1" s="75"/>
      <c r="DQ1" s="75"/>
      <c r="DR1" s="75"/>
      <c r="DS1" s="75"/>
      <c r="DT1" s="75"/>
    </row>
    <row r="2" spans="1:125" x14ac:dyDescent="0.25">
      <c r="L2" s="76">
        <v>46000</v>
      </c>
      <c r="M2" s="76"/>
      <c r="N2" s="76"/>
      <c r="O2" s="76"/>
      <c r="P2" s="76"/>
      <c r="Q2" s="27"/>
      <c r="R2" s="76">
        <v>45684</v>
      </c>
      <c r="S2" s="75"/>
      <c r="V2" s="76">
        <v>45685</v>
      </c>
      <c r="W2" s="76"/>
      <c r="X2" s="76"/>
      <c r="Y2" s="76"/>
      <c r="Z2" s="76"/>
      <c r="AC2" s="76">
        <v>45688</v>
      </c>
      <c r="AD2" s="76"/>
      <c r="AE2" s="76"/>
      <c r="AF2" s="76"/>
      <c r="AG2" s="76"/>
      <c r="AJ2" s="76">
        <v>45695</v>
      </c>
      <c r="AK2" s="76"/>
      <c r="AL2" s="76"/>
      <c r="AM2" s="76"/>
      <c r="AN2" s="76"/>
      <c r="AQ2" s="76">
        <v>45702</v>
      </c>
      <c r="AR2" s="76"/>
      <c r="AS2" s="76"/>
      <c r="AT2" s="76"/>
      <c r="AU2" s="76"/>
      <c r="AV2" s="76"/>
      <c r="AY2" s="76">
        <v>45711</v>
      </c>
      <c r="AZ2" s="76"/>
      <c r="BA2" s="76"/>
      <c r="BB2" s="76"/>
      <c r="BC2" s="76"/>
      <c r="BD2" s="76"/>
      <c r="BE2" s="76"/>
      <c r="BF2" s="76"/>
      <c r="BG2" s="54">
        <f>((AY14+BF14)/AY14)^(1/((AY2-AQ2)/7))-1</f>
        <v>7.8250579652632268E-3</v>
      </c>
      <c r="BH2" s="9">
        <f>(1+BG2)^(36)-1</f>
        <v>0.32393138919216002</v>
      </c>
      <c r="BJ2" s="76">
        <v>45716</v>
      </c>
      <c r="BK2" s="76"/>
      <c r="BL2" s="76"/>
      <c r="BM2" s="76"/>
      <c r="BN2" s="76"/>
      <c r="BO2" s="76"/>
      <c r="BP2" s="76"/>
      <c r="BQ2" s="76"/>
      <c r="BR2" s="54">
        <f>((BJ14+BQ14)/BJ14)^(1/((BJ2-AY2)/7))-1</f>
        <v>-3.6296067687099143E-2</v>
      </c>
      <c r="BS2" s="9">
        <f>(1+BR2)^(36)-1</f>
        <v>-0.73577693917594722</v>
      </c>
      <c r="BU2" s="76">
        <v>45723</v>
      </c>
      <c r="BV2" s="76"/>
      <c r="BW2" s="76"/>
      <c r="BX2" s="76"/>
      <c r="BY2" s="76"/>
      <c r="BZ2" s="76"/>
      <c r="CA2" s="76"/>
      <c r="CB2" s="76"/>
      <c r="CC2" s="54">
        <f>((BU14+CB14)/BU14)^(1/((BU2-BJ2)/7))-1</f>
        <v>1.7693849525515226E-3</v>
      </c>
      <c r="CD2" s="9">
        <f>(1+CC2)^(36)-1</f>
        <v>6.5710349506775456E-2</v>
      </c>
      <c r="CF2" s="76">
        <v>45730</v>
      </c>
      <c r="CG2" s="76"/>
      <c r="CH2" s="76"/>
      <c r="CI2" s="76"/>
      <c r="CJ2" s="76"/>
      <c r="CK2" s="76"/>
      <c r="CL2" s="76"/>
      <c r="CM2" s="76"/>
      <c r="CN2" s="54">
        <f>((CF14+CM14)/CF14)^(1/((CF2-BU2)/7))-1</f>
        <v>-2.4417601324878913E-2</v>
      </c>
      <c r="CO2" s="9">
        <f>(1+CN2)^(36)-1</f>
        <v>-0.58932106766148507</v>
      </c>
      <c r="CQ2" s="76">
        <v>45736</v>
      </c>
      <c r="CR2" s="76"/>
      <c r="CS2" s="76"/>
      <c r="CT2" s="76"/>
      <c r="CU2" s="76"/>
      <c r="CV2" s="76"/>
      <c r="CW2" s="76"/>
      <c r="CX2" s="76"/>
      <c r="CY2" s="55">
        <f>((CQ14+CX14)/CQ14)^(1/((CQ2-CF2)/7))-1</f>
        <v>1.6751468666117653E-2</v>
      </c>
      <c r="CZ2" s="55">
        <f>(1+CY2)^(36)-1</f>
        <v>0.81858289724574784</v>
      </c>
      <c r="DB2" s="76">
        <v>45751</v>
      </c>
      <c r="DC2" s="76"/>
      <c r="DD2" s="76"/>
      <c r="DE2" s="76"/>
      <c r="DF2" s="76"/>
      <c r="DG2" s="76"/>
      <c r="DH2" s="76"/>
      <c r="DI2" s="76"/>
      <c r="DM2" s="76">
        <v>45778</v>
      </c>
      <c r="DN2" s="76"/>
      <c r="DO2" s="76"/>
      <c r="DP2" s="76"/>
      <c r="DQ2" s="76"/>
      <c r="DR2" s="76"/>
      <c r="DS2" s="76"/>
      <c r="DT2" s="76"/>
    </row>
    <row r="3" spans="1:125" ht="32.25" customHeight="1" x14ac:dyDescent="0.25">
      <c r="A3" s="20" t="s">
        <v>102</v>
      </c>
      <c r="B3" s="10" t="s">
        <v>104</v>
      </c>
      <c r="C3" s="10" t="s">
        <v>105</v>
      </c>
      <c r="D3" s="16" t="s">
        <v>136</v>
      </c>
      <c r="E3" s="16" t="s">
        <v>109</v>
      </c>
      <c r="F3" s="16" t="s">
        <v>110</v>
      </c>
      <c r="G3" s="16" t="s">
        <v>168</v>
      </c>
      <c r="H3" s="16" t="s">
        <v>133</v>
      </c>
      <c r="K3" s="28" t="s">
        <v>102</v>
      </c>
      <c r="L3" s="23" t="s">
        <v>104</v>
      </c>
      <c r="M3" s="23" t="s">
        <v>105</v>
      </c>
      <c r="N3" s="28" t="s">
        <v>109</v>
      </c>
      <c r="O3" s="28" t="s">
        <v>110</v>
      </c>
      <c r="P3" s="28" t="s">
        <v>111</v>
      </c>
      <c r="R3" s="23" t="s">
        <v>104</v>
      </c>
      <c r="S3" s="23" t="s">
        <v>105</v>
      </c>
      <c r="U3" s="28" t="s">
        <v>102</v>
      </c>
      <c r="V3" s="23" t="s">
        <v>104</v>
      </c>
      <c r="W3" s="23" t="s">
        <v>105</v>
      </c>
      <c r="X3" s="28" t="s">
        <v>109</v>
      </c>
      <c r="Y3" s="28" t="s">
        <v>110</v>
      </c>
      <c r="Z3" s="28" t="s">
        <v>111</v>
      </c>
      <c r="AB3" s="28" t="s">
        <v>102</v>
      </c>
      <c r="AC3" s="23" t="s">
        <v>104</v>
      </c>
      <c r="AD3" s="23" t="s">
        <v>105</v>
      </c>
      <c r="AE3" s="28" t="s">
        <v>109</v>
      </c>
      <c r="AF3" s="28" t="s">
        <v>110</v>
      </c>
      <c r="AG3" s="28" t="s">
        <v>111</v>
      </c>
      <c r="AI3" s="28" t="s">
        <v>102</v>
      </c>
      <c r="AJ3" s="23" t="s">
        <v>104</v>
      </c>
      <c r="AK3" s="23" t="s">
        <v>105</v>
      </c>
      <c r="AL3" s="28" t="s">
        <v>109</v>
      </c>
      <c r="AM3" s="28" t="s">
        <v>110</v>
      </c>
      <c r="AN3" s="28" t="s">
        <v>111</v>
      </c>
      <c r="AP3" s="28" t="s">
        <v>102</v>
      </c>
      <c r="AQ3" s="44" t="s">
        <v>104</v>
      </c>
      <c r="AR3" s="44" t="s">
        <v>105</v>
      </c>
      <c r="AS3" s="44" t="s">
        <v>109</v>
      </c>
      <c r="AT3" s="44" t="s">
        <v>110</v>
      </c>
      <c r="AU3" s="44" t="s">
        <v>132</v>
      </c>
      <c r="AV3" s="44" t="s">
        <v>133</v>
      </c>
      <c r="AX3" s="28" t="s">
        <v>102</v>
      </c>
      <c r="AY3" s="23" t="s">
        <v>104</v>
      </c>
      <c r="AZ3" s="23" t="s">
        <v>105</v>
      </c>
      <c r="BA3" s="44" t="s">
        <v>136</v>
      </c>
      <c r="BB3" s="44" t="s">
        <v>109</v>
      </c>
      <c r="BC3" s="44" t="s">
        <v>110</v>
      </c>
      <c r="BD3" s="44" t="s">
        <v>132</v>
      </c>
      <c r="BE3" s="44" t="s">
        <v>133</v>
      </c>
      <c r="BF3" s="45" t="s">
        <v>138</v>
      </c>
      <c r="BG3" s="45" t="s">
        <v>148</v>
      </c>
      <c r="BI3" s="28" t="s">
        <v>102</v>
      </c>
      <c r="BJ3" s="23" t="s">
        <v>104</v>
      </c>
      <c r="BK3" s="23" t="s">
        <v>105</v>
      </c>
      <c r="BL3" s="44" t="s">
        <v>136</v>
      </c>
      <c r="BM3" s="44" t="s">
        <v>109</v>
      </c>
      <c r="BN3" s="44" t="s">
        <v>110</v>
      </c>
      <c r="BO3" s="44" t="s">
        <v>132</v>
      </c>
      <c r="BP3" s="44" t="s">
        <v>133</v>
      </c>
      <c r="BQ3" s="45" t="s">
        <v>138</v>
      </c>
      <c r="BR3" s="45" t="s">
        <v>149</v>
      </c>
      <c r="BT3" s="28" t="s">
        <v>102</v>
      </c>
      <c r="BU3" s="23" t="s">
        <v>104</v>
      </c>
      <c r="BV3" s="23" t="s">
        <v>105</v>
      </c>
      <c r="BW3" s="44" t="s">
        <v>136</v>
      </c>
      <c r="BX3" s="44" t="s">
        <v>109</v>
      </c>
      <c r="BY3" s="44" t="s">
        <v>110</v>
      </c>
      <c r="BZ3" s="44" t="s">
        <v>132</v>
      </c>
      <c r="CA3" s="44" t="s">
        <v>133</v>
      </c>
      <c r="CB3" s="45" t="s">
        <v>138</v>
      </c>
      <c r="CC3" s="45" t="s">
        <v>149</v>
      </c>
      <c r="CE3" s="28" t="s">
        <v>102</v>
      </c>
      <c r="CF3" s="23" t="s">
        <v>104</v>
      </c>
      <c r="CG3" s="23" t="s">
        <v>105</v>
      </c>
      <c r="CH3" s="44" t="s">
        <v>136</v>
      </c>
      <c r="CI3" s="44" t="s">
        <v>109</v>
      </c>
      <c r="CJ3" s="44" t="s">
        <v>110</v>
      </c>
      <c r="CK3" s="44" t="s">
        <v>132</v>
      </c>
      <c r="CL3" s="44" t="s">
        <v>133</v>
      </c>
      <c r="CM3" s="45" t="s">
        <v>138</v>
      </c>
      <c r="CN3" s="45" t="s">
        <v>149</v>
      </c>
      <c r="CP3" s="28" t="s">
        <v>102</v>
      </c>
      <c r="CQ3" s="23" t="s">
        <v>104</v>
      </c>
      <c r="CR3" s="23" t="s">
        <v>105</v>
      </c>
      <c r="CS3" s="44" t="s">
        <v>136</v>
      </c>
      <c r="CT3" s="44" t="s">
        <v>109</v>
      </c>
      <c r="CU3" s="44" t="s">
        <v>110</v>
      </c>
      <c r="CV3" s="44" t="s">
        <v>132</v>
      </c>
      <c r="CW3" s="44" t="s">
        <v>133</v>
      </c>
      <c r="CX3" s="45" t="s">
        <v>138</v>
      </c>
      <c r="CY3" s="45" t="s">
        <v>160</v>
      </c>
      <c r="DA3" s="56" t="s">
        <v>102</v>
      </c>
      <c r="DB3" s="58" t="s">
        <v>104</v>
      </c>
      <c r="DC3" s="58" t="s">
        <v>105</v>
      </c>
      <c r="DD3" s="58" t="s">
        <v>136</v>
      </c>
      <c r="DE3" s="58" t="s">
        <v>109</v>
      </c>
      <c r="DF3" s="58" t="s">
        <v>110</v>
      </c>
      <c r="DG3" s="58" t="s">
        <v>132</v>
      </c>
      <c r="DH3" s="58" t="s">
        <v>133</v>
      </c>
      <c r="DI3" s="45" t="s">
        <v>138</v>
      </c>
      <c r="DJ3" s="45" t="s">
        <v>160</v>
      </c>
      <c r="DL3" s="56" t="s">
        <v>102</v>
      </c>
      <c r="DM3" s="57" t="s">
        <v>104</v>
      </c>
      <c r="DN3" s="57" t="s">
        <v>105</v>
      </c>
      <c r="DO3" s="58" t="s">
        <v>136</v>
      </c>
      <c r="DP3" s="58" t="s">
        <v>109</v>
      </c>
      <c r="DQ3" s="58" t="s">
        <v>110</v>
      </c>
      <c r="DR3" s="58" t="s">
        <v>132</v>
      </c>
      <c r="DS3" s="58" t="s">
        <v>133</v>
      </c>
      <c r="DT3" s="45" t="s">
        <v>138</v>
      </c>
      <c r="DU3" s="45" t="s">
        <v>160</v>
      </c>
    </row>
    <row r="4" spans="1:125" x14ac:dyDescent="0.25">
      <c r="A4" s="21" t="s">
        <v>170</v>
      </c>
      <c r="B4" s="12">
        <v>417.82236099999994</v>
      </c>
      <c r="C4" s="22"/>
      <c r="D4" s="29">
        <v>0.22359666860290422</v>
      </c>
      <c r="E4" s="29">
        <v>0.1268575858504617</v>
      </c>
      <c r="F4" s="12">
        <v>53.003936030800048</v>
      </c>
      <c r="G4" s="29">
        <v>-1.4293930320783822E-3</v>
      </c>
      <c r="H4" s="12">
        <v>-0.59723237145993835</v>
      </c>
      <c r="I4" s="12"/>
      <c r="J4" s="12"/>
      <c r="K4" s="21" t="s">
        <v>36</v>
      </c>
      <c r="L4" s="12">
        <v>238.614968</v>
      </c>
      <c r="M4" s="22">
        <v>0.38101621514787376</v>
      </c>
      <c r="N4" s="29">
        <v>0.15967772461784535</v>
      </c>
      <c r="O4" s="12">
        <v>38.101495149999977</v>
      </c>
      <c r="P4" s="12">
        <v>1.7999999999999998</v>
      </c>
      <c r="R4" s="12">
        <v>233.65908899999999</v>
      </c>
      <c r="S4" s="22">
        <v>0.30679033555941537</v>
      </c>
      <c r="U4" s="21" t="s">
        <v>38</v>
      </c>
      <c r="V4" s="12">
        <v>210.14336800000001</v>
      </c>
      <c r="W4" s="22">
        <v>0.29827679581416749</v>
      </c>
      <c r="X4" s="29">
        <v>0.11801519297244734</v>
      </c>
      <c r="Y4" s="12">
        <v>24.8001101264</v>
      </c>
      <c r="Z4" s="12"/>
      <c r="AB4" s="40" t="s">
        <v>113</v>
      </c>
      <c r="AC4" s="41">
        <v>218.85600000000002</v>
      </c>
      <c r="AD4" s="42">
        <v>0.23199208873650332</v>
      </c>
      <c r="AE4" s="43">
        <v>3.586522645026835E-2</v>
      </c>
      <c r="AF4" s="41">
        <v>7.849319999999949</v>
      </c>
      <c r="AG4" s="12"/>
      <c r="AI4" s="40" t="s">
        <v>38</v>
      </c>
      <c r="AJ4" s="41">
        <v>262.48183799999998</v>
      </c>
      <c r="AK4" s="42">
        <v>0.2578025874699007</v>
      </c>
      <c r="AL4" s="43">
        <v>0.11840756019698384</v>
      </c>
      <c r="AM4" s="41">
        <v>31.07983403359998</v>
      </c>
      <c r="AN4" s="12"/>
      <c r="AP4" s="40" t="s">
        <v>38</v>
      </c>
      <c r="AQ4" s="41">
        <v>262.48183799999998</v>
      </c>
      <c r="AR4" s="42">
        <v>0.25445195244463964</v>
      </c>
      <c r="AS4" s="43">
        <v>0.11840756019698384</v>
      </c>
      <c r="AT4" s="41">
        <v>31.07983403359998</v>
      </c>
      <c r="AU4" s="43">
        <v>-2.8863414161249615E-2</v>
      </c>
      <c r="AV4" s="41">
        <v>-7.576121999999998</v>
      </c>
      <c r="AX4" s="40" t="s">
        <v>38</v>
      </c>
      <c r="AY4" s="41">
        <v>283.12183800000003</v>
      </c>
      <c r="AZ4" s="42">
        <v>0.2587041174008915</v>
      </c>
      <c r="BA4" s="43">
        <v>0.18558395637569999</v>
      </c>
      <c r="BB4" s="43">
        <v>0.12435576952421434</v>
      </c>
      <c r="BC4" s="41">
        <v>35.207834033599966</v>
      </c>
      <c r="BD4" s="43">
        <v>1.4576339392088756E-2</v>
      </c>
      <c r="BE4" s="41">
        <v>4.1268799999999715</v>
      </c>
      <c r="BF4" s="41">
        <f>BE4-VLOOKUP(AX4,AP:AV,7,0)</f>
        <v>11.703001999999969</v>
      </c>
      <c r="BG4" s="52">
        <f>BD4-VLOOKUP(AX4,AP:AU,6,0)</f>
        <v>4.3439753553338373E-2</v>
      </c>
      <c r="BI4" s="40" t="s">
        <v>38</v>
      </c>
      <c r="BJ4" s="41">
        <v>283.12183800000003</v>
      </c>
      <c r="BK4" s="42">
        <v>0.23616253887321553</v>
      </c>
      <c r="BL4" s="43">
        <v>0.18558395637569997</v>
      </c>
      <c r="BM4" s="43">
        <v>0.12435576952421434</v>
      </c>
      <c r="BN4" s="41">
        <v>35.207834033599966</v>
      </c>
      <c r="BO4" s="43">
        <v>2.5706091947594521E-2</v>
      </c>
      <c r="BP4" s="41">
        <v>7.2779559999999606</v>
      </c>
      <c r="BQ4" s="41">
        <f>BP4-VLOOKUP(BI4,AX:BF,8,0)</f>
        <v>3.1510759999999891</v>
      </c>
      <c r="BR4" s="52">
        <f>BO4-VLOOKUP(BI4,AX:BF,7,0)</f>
        <v>1.1129752555505764E-2</v>
      </c>
      <c r="BT4" s="40" t="s">
        <v>38</v>
      </c>
      <c r="BU4" s="41">
        <v>283.12183800000003</v>
      </c>
      <c r="BV4" s="42">
        <v>0.23616253887321559</v>
      </c>
      <c r="BW4" s="43">
        <v>0.18558395637569999</v>
      </c>
      <c r="BX4" s="43">
        <v>0.12435576952421434</v>
      </c>
      <c r="BY4" s="41">
        <v>35.207834033599966</v>
      </c>
      <c r="BZ4" s="43">
        <v>4.7817109749054225E-2</v>
      </c>
      <c r="CA4" s="41">
        <v>13.538067999999953</v>
      </c>
      <c r="CB4" s="41">
        <f>CA4-VLOOKUP(BT4,BI:BQ,8,0)</f>
        <v>6.2601119999999923</v>
      </c>
      <c r="CC4" s="52">
        <f>BZ4-VLOOKUP(BT4,BI:BQ,7,0)</f>
        <v>2.2111017801459704E-2</v>
      </c>
      <c r="CE4" s="40" t="s">
        <v>40</v>
      </c>
      <c r="CF4" s="41">
        <v>305.87361500000003</v>
      </c>
      <c r="CG4" s="42">
        <v>0.25541731962011527</v>
      </c>
      <c r="CH4" s="43">
        <v>0.36471984556039588</v>
      </c>
      <c r="CI4" s="43">
        <v>0.16855939797226371</v>
      </c>
      <c r="CJ4" s="41">
        <v>51.557872399999951</v>
      </c>
      <c r="CK4" s="43">
        <v>-0.1022216283676512</v>
      </c>
      <c r="CL4" s="41">
        <v>-31.266899000000024</v>
      </c>
      <c r="CM4" s="41">
        <f>CL4-VLOOKUP(CE4,BT:CB,8,0)</f>
        <v>-1.9105559999999855</v>
      </c>
      <c r="CN4" s="52">
        <f>CK4-VLOOKUP(CE4,BT:CB,7,0)</f>
        <v>6.1512168215401425E-3</v>
      </c>
      <c r="CP4" s="40" t="s">
        <v>40</v>
      </c>
      <c r="CQ4" s="41">
        <v>316.867864</v>
      </c>
      <c r="CR4" s="42">
        <v>0.257926072933645</v>
      </c>
      <c r="CS4" s="43">
        <v>0.37044757162247294</v>
      </c>
      <c r="CT4" s="43">
        <v>0.18127728282347988</v>
      </c>
      <c r="CU4" s="41">
        <v>57.440945399999976</v>
      </c>
      <c r="CV4" s="43">
        <v>-9.0676153262421177E-2</v>
      </c>
      <c r="CW4" s="41">
        <v>-28.732359000000031</v>
      </c>
      <c r="CX4" s="41">
        <f>CW4-VLOOKUP(CP4,CE:CM,8,0)</f>
        <v>2.5345399999999927</v>
      </c>
      <c r="CY4" s="52">
        <f>CV4-VLOOKUP(CP4,CE:CM,7,0)</f>
        <v>1.1545475105230019E-2</v>
      </c>
      <c r="DA4" s="59" t="s">
        <v>113</v>
      </c>
      <c r="DB4" s="60">
        <v>405.18200000000002</v>
      </c>
      <c r="DC4" s="61">
        <v>0.26577877359715768</v>
      </c>
      <c r="DD4" s="62">
        <v>0.17020346412229564</v>
      </c>
      <c r="DE4" s="62">
        <v>6.2412372711522224E-2</v>
      </c>
      <c r="DF4" s="60">
        <v>25.288369999999986</v>
      </c>
      <c r="DG4" s="62">
        <v>-7.4144458539619304E-2</v>
      </c>
      <c r="DH4" s="60">
        <v>-30.04200000000003</v>
      </c>
      <c r="DI4" s="41">
        <f>DH4-VLOOKUP(DA4,CP:CX,8,0)</f>
        <v>-23.934800000000024</v>
      </c>
      <c r="DJ4" s="52">
        <f>DG4-VLOOKUP(DA4,CP:CX,7,0)</f>
        <v>-4.5346691743436848E-2</v>
      </c>
      <c r="DL4" s="59" t="s">
        <v>113</v>
      </c>
      <c r="DM4" s="60">
        <v>442.44</v>
      </c>
      <c r="DN4" s="61">
        <v>0.28252609493330044</v>
      </c>
      <c r="DO4" s="62">
        <v>0.17271263900189859</v>
      </c>
      <c r="DP4" s="62">
        <v>6.5577637645782394E-2</v>
      </c>
      <c r="DQ4" s="60">
        <v>29.014169999999979</v>
      </c>
      <c r="DR4" s="62">
        <v>-1.1924539208573833E-2</v>
      </c>
      <c r="DS4" s="60">
        <v>-5.2758931274414067</v>
      </c>
      <c r="DT4" s="41">
        <f>DS4-VLOOKUP(DL4,DA:DI,8,0)</f>
        <v>24.766106872558623</v>
      </c>
      <c r="DU4" s="52">
        <f>DR4-VLOOKUP(DL4,DA:DI,7,0)</f>
        <v>6.2219919331045467E-2</v>
      </c>
    </row>
    <row r="5" spans="1:125" x14ac:dyDescent="0.25">
      <c r="A5" s="21" t="s">
        <v>113</v>
      </c>
      <c r="B5" s="12">
        <v>358.73</v>
      </c>
      <c r="C5" s="22"/>
      <c r="D5" s="29">
        <v>0.16612772837510106</v>
      </c>
      <c r="E5" s="29">
        <v>5.7141443425417382E-2</v>
      </c>
      <c r="F5" s="12">
        <v>20.498350000000016</v>
      </c>
      <c r="G5" s="29">
        <v>-2.8316569028565237E-2</v>
      </c>
      <c r="H5" s="12">
        <v>-10.158002807617208</v>
      </c>
      <c r="I5" s="12"/>
      <c r="J5" s="12"/>
      <c r="K5" s="21" t="s">
        <v>38</v>
      </c>
      <c r="L5" s="12">
        <v>159.887845</v>
      </c>
      <c r="M5" s="22">
        <v>0.25530611956434301</v>
      </c>
      <c r="N5" s="29">
        <v>0.1083576745186603</v>
      </c>
      <c r="O5" s="12">
        <v>17.32507506799999</v>
      </c>
      <c r="P5" s="12"/>
      <c r="R5" s="12">
        <v>210.14336800000001</v>
      </c>
      <c r="S5" s="22">
        <v>0.27591460131176709</v>
      </c>
      <c r="U5" s="21" t="s">
        <v>36</v>
      </c>
      <c r="V5" s="12">
        <v>177.40437299999999</v>
      </c>
      <c r="W5" s="22">
        <v>0.25180717547965348</v>
      </c>
      <c r="X5" s="29">
        <v>0.17124807148919596</v>
      </c>
      <c r="Y5" s="12">
        <v>30.380156749999998</v>
      </c>
      <c r="Z5" s="12"/>
      <c r="AB5" s="40" t="s">
        <v>38</v>
      </c>
      <c r="AC5" s="41">
        <v>210.14336800000001</v>
      </c>
      <c r="AD5" s="42">
        <v>0.22275651056605106</v>
      </c>
      <c r="AE5" s="43">
        <v>0.11801519297244734</v>
      </c>
      <c r="AF5" s="41">
        <v>24.8001101264</v>
      </c>
      <c r="AG5" s="12"/>
      <c r="AI5" s="40" t="s">
        <v>113</v>
      </c>
      <c r="AJ5" s="41">
        <v>218.85600000000002</v>
      </c>
      <c r="AK5" s="42">
        <v>0.21495446509069555</v>
      </c>
      <c r="AL5" s="43">
        <v>3.586522645026835E-2</v>
      </c>
      <c r="AM5" s="41">
        <v>7.849319999999949</v>
      </c>
      <c r="AN5" s="12"/>
      <c r="AP5" s="40" t="s">
        <v>113</v>
      </c>
      <c r="AQ5" s="41">
        <v>218.85400000000001</v>
      </c>
      <c r="AR5" s="42">
        <v>0.21215878410726144</v>
      </c>
      <c r="AS5" s="43">
        <v>3.5865142972027142E-2</v>
      </c>
      <c r="AT5" s="41">
        <v>7.8492300000000057</v>
      </c>
      <c r="AU5" s="43">
        <v>1.3728787228015007E-2</v>
      </c>
      <c r="AV5" s="41">
        <v>3.0045999999999822</v>
      </c>
      <c r="AX5" s="40" t="s">
        <v>40</v>
      </c>
      <c r="AY5" s="41">
        <v>245.91161700000001</v>
      </c>
      <c r="AZ5" s="42">
        <v>0.22470307583483215</v>
      </c>
      <c r="BA5" s="43">
        <v>0.34646737756110157</v>
      </c>
      <c r="BB5" s="43">
        <v>0.13136960341324588</v>
      </c>
      <c r="BC5" s="41">
        <v>32.30531160000001</v>
      </c>
      <c r="BD5" s="43">
        <v>-3.414214465516701E-2</v>
      </c>
      <c r="BE5" s="41">
        <v>-8.3959500000000276</v>
      </c>
      <c r="BF5" s="41">
        <f t="shared" ref="BF5:BF14" si="0">BE5-VLOOKUP(AX5,AP:AV,7,0)</f>
        <v>0.18132199999999443</v>
      </c>
      <c r="BG5" s="52">
        <f t="shared" ref="BG5:BG14" si="1">BD5-VLOOKUP(AX5,AP:AU,6,0)</f>
        <v>8.5452192337185373E-3</v>
      </c>
      <c r="BI5" s="40" t="s">
        <v>40</v>
      </c>
      <c r="BJ5" s="41">
        <v>270.88283000000001</v>
      </c>
      <c r="BK5" s="42">
        <v>0.22595352347903885</v>
      </c>
      <c r="BL5" s="43">
        <v>0.34729981743139637</v>
      </c>
      <c r="BM5" s="43">
        <v>0.13908261885775475</v>
      </c>
      <c r="BN5" s="41">
        <v>37.67509339999998</v>
      </c>
      <c r="BO5" s="43">
        <v>-8.6924043875353796E-2</v>
      </c>
      <c r="BP5" s="41">
        <v>-23.546231000000006</v>
      </c>
      <c r="BQ5" s="41">
        <f t="shared" ref="BQ5:BQ14" si="2">BP5-VLOOKUP(BI5,AX:BF,8,0)</f>
        <v>-15.150280999999978</v>
      </c>
      <c r="BR5" s="52">
        <f t="shared" ref="BR5:BR14" si="3">BO5-VLOOKUP(BI5,AX:BF,7,0)</f>
        <v>-5.2781899220186786E-2</v>
      </c>
      <c r="BT5" s="40" t="s">
        <v>40</v>
      </c>
      <c r="BU5" s="41">
        <v>270.88283000000001</v>
      </c>
      <c r="BV5" s="42">
        <v>0.22595352347903888</v>
      </c>
      <c r="BW5" s="43">
        <v>0.34729981743139643</v>
      </c>
      <c r="BX5" s="43">
        <v>0.13908261885775475</v>
      </c>
      <c r="BY5" s="41">
        <v>37.67509339999998</v>
      </c>
      <c r="BZ5" s="43">
        <v>-0.10837284518919134</v>
      </c>
      <c r="CA5" s="41">
        <v>-29.356343000000038</v>
      </c>
      <c r="CB5" s="41">
        <f t="shared" ref="CB5:CB14" si="4">CA5-VLOOKUP(BT5,BI:BQ,8,0)</f>
        <v>-5.8101120000000321</v>
      </c>
      <c r="CC5" s="52">
        <f t="shared" ref="CC5:CC14" si="5">BZ5-VLOOKUP(BT5,BI:BQ,7,0)</f>
        <v>-2.1448801313837543E-2</v>
      </c>
      <c r="CE5" s="40" t="s">
        <v>38</v>
      </c>
      <c r="CF5" s="41">
        <v>283.12183800000003</v>
      </c>
      <c r="CG5" s="42">
        <v>0.23641862992295198</v>
      </c>
      <c r="CH5" s="43">
        <v>0.18558395637569999</v>
      </c>
      <c r="CI5" s="43">
        <v>0.12435576952421434</v>
      </c>
      <c r="CJ5" s="41">
        <v>35.207834033599966</v>
      </c>
      <c r="CK5" s="43">
        <v>3.074675574831482E-2</v>
      </c>
      <c r="CL5" s="41">
        <v>8.7050779999999577</v>
      </c>
      <c r="CM5" s="41">
        <f t="shared" ref="CM5:CM14" si="6">CL5-VLOOKUP(CE5,BT:CB,8,0)</f>
        <v>-4.8329899999999952</v>
      </c>
      <c r="CN5" s="52">
        <f t="shared" ref="CN5:CN14" si="7">CK5-VLOOKUP(CE5,BT:CB,7,0)</f>
        <v>-1.7070354000739404E-2</v>
      </c>
      <c r="CP5" s="40" t="s">
        <v>38</v>
      </c>
      <c r="CQ5" s="41">
        <v>283.12183800000003</v>
      </c>
      <c r="CR5" s="42">
        <v>0.23045727299470053</v>
      </c>
      <c r="CS5" s="43">
        <v>0.18558395637569999</v>
      </c>
      <c r="CT5" s="43">
        <v>0.12435576952421434</v>
      </c>
      <c r="CU5" s="41">
        <v>35.207834033599966</v>
      </c>
      <c r="CV5" s="43">
        <v>2.6709228978656119E-2</v>
      </c>
      <c r="CW5" s="41">
        <v>7.561965999999984</v>
      </c>
      <c r="CX5" s="41">
        <f t="shared" ref="CX5:CX14" si="8">CW5-VLOOKUP(CP5,CE:CM,8,0)</f>
        <v>-1.1431119999999737</v>
      </c>
      <c r="CY5" s="52">
        <f t="shared" ref="CY5:CY14" si="9">CV5-VLOOKUP(CP5,CE:CM,7,0)</f>
        <v>-4.037526769658701E-3</v>
      </c>
      <c r="DA5" s="59" t="s">
        <v>40</v>
      </c>
      <c r="DB5" s="60">
        <v>326.87035700000001</v>
      </c>
      <c r="DC5" s="61">
        <v>0.21441032081564609</v>
      </c>
      <c r="DD5" s="62">
        <v>0.37316652662664057</v>
      </c>
      <c r="DE5" s="62">
        <v>0.19741585927903493</v>
      </c>
      <c r="DF5" s="60">
        <v>64.529392399999949</v>
      </c>
      <c r="DG5" s="62">
        <v>-0.13036696227550557</v>
      </c>
      <c r="DH5" s="60">
        <v>-42.613095500000043</v>
      </c>
      <c r="DI5" s="41">
        <f t="shared" ref="DI5:DI14" si="10">DH5-VLOOKUP(DA5,CP:CX,8,0)</f>
        <v>-13.880736500000012</v>
      </c>
      <c r="DJ5" s="52">
        <f t="shared" ref="DJ5:DJ14" si="11">DG5-VLOOKUP(DA5,CP:CX,7,0)</f>
        <v>-3.9690809013084388E-2</v>
      </c>
      <c r="DL5" s="59" t="s">
        <v>40</v>
      </c>
      <c r="DM5" s="60">
        <v>315.87012799999997</v>
      </c>
      <c r="DN5" s="61">
        <v>0.20170317731200105</v>
      </c>
      <c r="DO5" s="62">
        <v>0.443457928210926</v>
      </c>
      <c r="DP5" s="62">
        <v>0.26920748738861433</v>
      </c>
      <c r="DQ5" s="60">
        <v>85.034603500000003</v>
      </c>
      <c r="DR5" s="62">
        <v>-0.1662465148123474</v>
      </c>
      <c r="DS5" s="60">
        <v>-52.512307913330062</v>
      </c>
      <c r="DT5" s="41">
        <f t="shared" ref="DT5:DT14" si="12">DS5-VLOOKUP(DL5,DA:DI,8,0)</f>
        <v>-9.8992124133300194</v>
      </c>
      <c r="DU5" s="52">
        <f t="shared" ref="DU5:DU14" si="13">DR5-VLOOKUP(DL5,DA:DI,7,0)</f>
        <v>-3.587955253684183E-2</v>
      </c>
    </row>
    <row r="6" spans="1:125" x14ac:dyDescent="0.25">
      <c r="A6" s="21" t="s">
        <v>171</v>
      </c>
      <c r="B6" s="12">
        <v>142.32674900000001</v>
      </c>
      <c r="C6" s="22"/>
      <c r="D6" s="29">
        <v>0.27379333966308755</v>
      </c>
      <c r="E6" s="29">
        <v>0.11945580713011283</v>
      </c>
      <c r="F6" s="12">
        <v>17.001756677999992</v>
      </c>
      <c r="G6" s="29">
        <v>9.4559705873374478E-2</v>
      </c>
      <c r="H6" s="12">
        <v>13.458375523353595</v>
      </c>
      <c r="I6" s="12"/>
      <c r="J6" s="12"/>
      <c r="K6" s="21" t="s">
        <v>37</v>
      </c>
      <c r="L6" s="12">
        <v>84.915515999999997</v>
      </c>
      <c r="M6" s="22">
        <v>0.13559161348859186</v>
      </c>
      <c r="N6" s="29">
        <v>0.28530609176301791</v>
      </c>
      <c r="O6" s="12">
        <v>24.226914000000008</v>
      </c>
      <c r="P6" s="12"/>
      <c r="R6" s="12">
        <v>149.810948</v>
      </c>
      <c r="S6" s="22">
        <v>0.19669917915067334</v>
      </c>
      <c r="U6" s="21" t="s">
        <v>40</v>
      </c>
      <c r="V6" s="12">
        <v>162.11427700000002</v>
      </c>
      <c r="W6" s="22">
        <v>0.23010446420222211</v>
      </c>
      <c r="X6" s="29">
        <v>0.13072196842971429</v>
      </c>
      <c r="Y6" s="12">
        <v>21.191897399999959</v>
      </c>
      <c r="Z6" s="12"/>
      <c r="AB6" s="40" t="s">
        <v>36</v>
      </c>
      <c r="AC6" s="41">
        <v>177.40437299999999</v>
      </c>
      <c r="AD6" s="42">
        <v>0.18805246848731463</v>
      </c>
      <c r="AE6" s="43">
        <v>0.17124807148919596</v>
      </c>
      <c r="AF6" s="41">
        <v>30.380156749999998</v>
      </c>
      <c r="AG6" s="12"/>
      <c r="AI6" s="40" t="s">
        <v>36</v>
      </c>
      <c r="AJ6" s="41">
        <v>196.93234799999999</v>
      </c>
      <c r="AK6" s="42">
        <v>0.19342164493271694</v>
      </c>
      <c r="AL6" s="43">
        <v>0.17126296386818063</v>
      </c>
      <c r="AM6" s="41">
        <v>33.727217599999989</v>
      </c>
      <c r="AN6" s="12"/>
      <c r="AP6" s="40" t="s">
        <v>40</v>
      </c>
      <c r="AQ6" s="41">
        <v>200.93234200000001</v>
      </c>
      <c r="AR6" s="42">
        <v>0.19478538827960382</v>
      </c>
      <c r="AS6" s="43">
        <v>0.12945570305451382</v>
      </c>
      <c r="AT6" s="41">
        <v>26.011837600000035</v>
      </c>
      <c r="AU6" s="43">
        <v>-4.2687363888885548E-2</v>
      </c>
      <c r="AV6" s="41">
        <v>-8.577272000000022</v>
      </c>
      <c r="AX6" s="40" t="s">
        <v>113</v>
      </c>
      <c r="AY6" s="41">
        <v>218.852</v>
      </c>
      <c r="AZ6" s="42">
        <v>0.19997720381223261</v>
      </c>
      <c r="BA6" s="43">
        <v>0.14808573830716651</v>
      </c>
      <c r="BB6" s="43">
        <v>6.1035677078573602E-2</v>
      </c>
      <c r="BC6" s="41">
        <v>13.357779999999991</v>
      </c>
      <c r="BD6" s="43">
        <v>3.4507338292544827E-2</v>
      </c>
      <c r="BE6" s="41">
        <v>7.5520000000000209</v>
      </c>
      <c r="BF6" s="41">
        <f t="shared" si="0"/>
        <v>4.5474000000000387</v>
      </c>
      <c r="BG6" s="52">
        <f t="shared" si="1"/>
        <v>2.0778551064529818E-2</v>
      </c>
      <c r="BI6" s="40" t="s">
        <v>113</v>
      </c>
      <c r="BJ6" s="41">
        <v>263.35200000000003</v>
      </c>
      <c r="BK6" s="42">
        <v>0.21967177585693359</v>
      </c>
      <c r="BL6" s="43">
        <v>0.1514507579209575</v>
      </c>
      <c r="BM6" s="43">
        <v>6.4747106534220222E-2</v>
      </c>
      <c r="BN6" s="41">
        <v>17.051279999999963</v>
      </c>
      <c r="BO6" s="43">
        <v>-2.1568091375801447E-2</v>
      </c>
      <c r="BP6" s="41">
        <v>-5.6800000000000637</v>
      </c>
      <c r="BQ6" s="41">
        <f t="shared" si="2"/>
        <v>-13.232000000000085</v>
      </c>
      <c r="BR6" s="52">
        <f t="shared" si="3"/>
        <v>-5.6075429668346277E-2</v>
      </c>
      <c r="BT6" s="40" t="s">
        <v>113</v>
      </c>
      <c r="BU6" s="41">
        <v>263.35199999999998</v>
      </c>
      <c r="BV6" s="42">
        <v>0.21967177585693357</v>
      </c>
      <c r="BW6" s="43">
        <v>0.15145075792095752</v>
      </c>
      <c r="BX6" s="43">
        <v>6.4747106534220444E-2</v>
      </c>
      <c r="BY6" s="41">
        <v>17.05128000000002</v>
      </c>
      <c r="BZ6" s="43">
        <v>-2.2054132871593888E-2</v>
      </c>
      <c r="CA6" s="41">
        <v>-5.8079999999999927</v>
      </c>
      <c r="CB6" s="41">
        <f t="shared" si="4"/>
        <v>-0.12799999999992906</v>
      </c>
      <c r="CC6" s="52">
        <f t="shared" si="5"/>
        <v>-4.8604149579244138E-4</v>
      </c>
      <c r="CE6" s="40" t="s">
        <v>113</v>
      </c>
      <c r="CF6" s="41">
        <v>212.072</v>
      </c>
      <c r="CG6" s="42">
        <v>0.17708903007693907</v>
      </c>
      <c r="CH6" s="43">
        <v>0.17428939228186655</v>
      </c>
      <c r="CI6" s="43">
        <v>7.0005658455618791E-2</v>
      </c>
      <c r="CJ6" s="41">
        <v>14.846239999999995</v>
      </c>
      <c r="CK6" s="43">
        <v>-5.7942585536987487E-2</v>
      </c>
      <c r="CL6" s="41">
        <v>-12.288000000000011</v>
      </c>
      <c r="CM6" s="41">
        <f t="shared" si="6"/>
        <v>-6.4800000000000182</v>
      </c>
      <c r="CN6" s="52">
        <f t="shared" si="7"/>
        <v>-3.5888452665393603E-2</v>
      </c>
      <c r="CP6" s="40" t="s">
        <v>36</v>
      </c>
      <c r="CQ6" s="41">
        <v>225.57201800000001</v>
      </c>
      <c r="CR6" s="42">
        <v>0.18361251290051139</v>
      </c>
      <c r="CS6" s="43">
        <v>0.30432884582076136</v>
      </c>
      <c r="CT6" s="43">
        <v>0.1949079823367097</v>
      </c>
      <c r="CU6" s="41">
        <v>43.965786899999955</v>
      </c>
      <c r="CV6" s="43">
        <v>-4.9341581011169658E-2</v>
      </c>
      <c r="CW6" s="41">
        <v>-11.130080000000021</v>
      </c>
      <c r="CX6" s="41">
        <f t="shared" si="8"/>
        <v>5.8058300000000145</v>
      </c>
      <c r="CY6" s="52">
        <f t="shared" si="9"/>
        <v>3.3036023220376895E-2</v>
      </c>
      <c r="DA6" s="59" t="s">
        <v>38</v>
      </c>
      <c r="DB6" s="60">
        <v>289.90281599999997</v>
      </c>
      <c r="DC6" s="61">
        <v>0.19016149507836591</v>
      </c>
      <c r="DD6" s="62">
        <v>0.18629770618302655</v>
      </c>
      <c r="DE6" s="62">
        <v>0.12853694904709045</v>
      </c>
      <c r="DF6" s="60">
        <v>37.263223488800008</v>
      </c>
      <c r="DG6" s="62">
        <v>2.5912994235971806E-2</v>
      </c>
      <c r="DH6" s="60">
        <v>7.5122499999999945</v>
      </c>
      <c r="DI6" s="41">
        <f t="shared" si="10"/>
        <v>-4.9715999999989435E-2</v>
      </c>
      <c r="DJ6" s="52">
        <f t="shared" si="11"/>
        <v>-7.9623474268431318E-4</v>
      </c>
      <c r="DL6" s="59" t="s">
        <v>36</v>
      </c>
      <c r="DM6" s="60">
        <v>280.56123500000001</v>
      </c>
      <c r="DN6" s="61">
        <v>0.17915620222903447</v>
      </c>
      <c r="DO6" s="62">
        <v>0.3172002082803777</v>
      </c>
      <c r="DP6" s="62">
        <v>0.25314434440666789</v>
      </c>
      <c r="DQ6" s="60">
        <v>71.022489900000096</v>
      </c>
      <c r="DR6" s="62">
        <v>1.5712729044749583E-3</v>
      </c>
      <c r="DS6" s="60">
        <v>0.44083826660153136</v>
      </c>
      <c r="DT6" s="41">
        <f t="shared" si="12"/>
        <v>29.394319266601514</v>
      </c>
      <c r="DU6" s="52">
        <f t="shared" si="13"/>
        <v>0.10476971013690295</v>
      </c>
    </row>
    <row r="7" spans="1:125" x14ac:dyDescent="0.25">
      <c r="A7" s="21" t="s">
        <v>176</v>
      </c>
      <c r="B7" s="12">
        <v>3.5253721008300784E-29</v>
      </c>
      <c r="C7" s="22"/>
      <c r="D7" s="29">
        <v>0.48555664493493317</v>
      </c>
      <c r="E7" s="29">
        <v>9.8802764614595917E-2</v>
      </c>
      <c r="F7" s="12">
        <v>3.483165098571777E-30</v>
      </c>
      <c r="G7" s="29">
        <v>-4.0392940776619264E-2</v>
      </c>
      <c r="H7" s="12">
        <v>-1.4240014648437519E-30</v>
      </c>
      <c r="I7" s="12"/>
      <c r="J7" s="12"/>
      <c r="K7" s="21" t="s">
        <v>39</v>
      </c>
      <c r="L7" s="12">
        <v>76.938714000000004</v>
      </c>
      <c r="M7" s="22">
        <v>0.12285439531448307</v>
      </c>
      <c r="N7" s="29">
        <v>7.9955036025166626E-2</v>
      </c>
      <c r="O7" s="12">
        <v>6.1516376495999907</v>
      </c>
      <c r="P7" s="12">
        <v>-4.4000000000000004</v>
      </c>
      <c r="R7" s="12">
        <v>108.030807</v>
      </c>
      <c r="S7" s="22">
        <v>0.14184257788612895</v>
      </c>
      <c r="U7" s="21" t="s">
        <v>37</v>
      </c>
      <c r="V7" s="12">
        <v>94.882213999999991</v>
      </c>
      <c r="W7" s="22">
        <v>0.13467549816596705</v>
      </c>
      <c r="X7" s="29">
        <v>0.28159743932619463</v>
      </c>
      <c r="Y7" s="12">
        <v>26.71858850000001</v>
      </c>
      <c r="Z7" s="12">
        <v>10.31</v>
      </c>
      <c r="AB7" s="40" t="s">
        <v>40</v>
      </c>
      <c r="AC7" s="41">
        <v>172.11133100000001</v>
      </c>
      <c r="AD7" s="42">
        <v>0.18244172960261401</v>
      </c>
      <c r="AE7" s="43">
        <v>0.1289374887235053</v>
      </c>
      <c r="AF7" s="41">
        <v>22.191602799999998</v>
      </c>
      <c r="AG7" s="12">
        <v>0</v>
      </c>
      <c r="AI7" s="40" t="s">
        <v>40</v>
      </c>
      <c r="AJ7" s="41">
        <v>188.97588910000002</v>
      </c>
      <c r="AK7" s="42">
        <v>0.18560702542552684</v>
      </c>
      <c r="AL7" s="43">
        <v>0.14271594343831007</v>
      </c>
      <c r="AM7" s="41">
        <v>26.969872299999963</v>
      </c>
      <c r="AN7" s="12">
        <v>0</v>
      </c>
      <c r="AP7" s="40" t="s">
        <v>36</v>
      </c>
      <c r="AQ7" s="41">
        <v>198.38494800000001</v>
      </c>
      <c r="AR7" s="42">
        <v>0.19231592455638136</v>
      </c>
      <c r="AS7" s="43">
        <v>0.16268682642193188</v>
      </c>
      <c r="AT7" s="41">
        <v>32.274617599999971</v>
      </c>
      <c r="AU7" s="43">
        <v>3.5134338921721006E-2</v>
      </c>
      <c r="AV7" s="41">
        <v>6.9701239999999984</v>
      </c>
      <c r="AX7" s="40" t="s">
        <v>36</v>
      </c>
      <c r="AY7" s="41">
        <v>155.61477000000002</v>
      </c>
      <c r="AZ7" s="42">
        <v>0.14219384139273894</v>
      </c>
      <c r="BA7" s="43">
        <v>0.28791727261236194</v>
      </c>
      <c r="BB7" s="43">
        <v>0.16617375651424315</v>
      </c>
      <c r="BC7" s="41">
        <v>25.859090899999956</v>
      </c>
      <c r="BD7" s="43">
        <v>6.8824508110635644E-3</v>
      </c>
      <c r="BE7" s="41">
        <v>1.0710109999999702</v>
      </c>
      <c r="BF7" s="41">
        <f t="shared" si="0"/>
        <v>-5.8991130000000283</v>
      </c>
      <c r="BG7" s="52">
        <f t="shared" si="1"/>
        <v>-2.8251888110657441E-2</v>
      </c>
      <c r="BI7" s="40" t="s">
        <v>36</v>
      </c>
      <c r="BJ7" s="41">
        <v>190.59815000000003</v>
      </c>
      <c r="BK7" s="42">
        <v>0.15898506214323874</v>
      </c>
      <c r="BL7" s="43">
        <v>0.30298316513880119</v>
      </c>
      <c r="BM7" s="43">
        <v>0.1857343888175198</v>
      </c>
      <c r="BN7" s="41">
        <v>35.400630899999953</v>
      </c>
      <c r="BO7" s="43">
        <v>-4.331625464360505E-2</v>
      </c>
      <c r="BP7" s="41">
        <v>-8.2559980000000337</v>
      </c>
      <c r="BQ7" s="41">
        <f t="shared" si="2"/>
        <v>-9.3270090000000039</v>
      </c>
      <c r="BR7" s="52">
        <f t="shared" si="3"/>
        <v>-5.0198705454668612E-2</v>
      </c>
      <c r="BT7" s="40" t="s">
        <v>36</v>
      </c>
      <c r="BU7" s="41">
        <v>190.59815000000003</v>
      </c>
      <c r="BV7" s="42">
        <v>0.15898506214323876</v>
      </c>
      <c r="BW7" s="43">
        <v>0.30298316513880119</v>
      </c>
      <c r="BX7" s="43">
        <v>0.1857343888175198</v>
      </c>
      <c r="BY7" s="41">
        <v>35.400630899999953</v>
      </c>
      <c r="BZ7" s="43">
        <v>-5.704223781815309E-2</v>
      </c>
      <c r="CA7" s="41">
        <v>-10.872145000000017</v>
      </c>
      <c r="CB7" s="41">
        <f t="shared" si="4"/>
        <v>-2.6161469999999838</v>
      </c>
      <c r="CC7" s="52">
        <f t="shared" si="5"/>
        <v>-1.372598317454804E-2</v>
      </c>
      <c r="CE7" s="40" t="s">
        <v>36</v>
      </c>
      <c r="CF7" s="41">
        <v>205.58876600000002</v>
      </c>
      <c r="CG7" s="42">
        <v>0.17167525729777997</v>
      </c>
      <c r="CH7" s="43">
        <v>0.30786973387738509</v>
      </c>
      <c r="CI7" s="43">
        <v>0.19583771858429233</v>
      </c>
      <c r="CJ7" s="41">
        <v>40.262034899999946</v>
      </c>
      <c r="CK7" s="43">
        <v>-8.2377604231546553E-2</v>
      </c>
      <c r="CL7" s="41">
        <v>-16.935910000000035</v>
      </c>
      <c r="CM7" s="41">
        <f t="shared" si="6"/>
        <v>-6.0637650000000178</v>
      </c>
      <c r="CN7" s="52">
        <f t="shared" si="7"/>
        <v>-2.5335366413393463E-2</v>
      </c>
      <c r="CP7" s="40" t="s">
        <v>113</v>
      </c>
      <c r="CQ7" s="41">
        <v>212.072</v>
      </c>
      <c r="CR7" s="42">
        <v>0.17262368436069608</v>
      </c>
      <c r="CS7" s="43">
        <v>0.17428939228186655</v>
      </c>
      <c r="CT7" s="43">
        <v>7.0005658455618791E-2</v>
      </c>
      <c r="CU7" s="41">
        <v>14.846239999999995</v>
      </c>
      <c r="CV7" s="43">
        <v>-2.8797766796182456E-2</v>
      </c>
      <c r="CW7" s="41">
        <v>-6.107200000000006</v>
      </c>
      <c r="CX7" s="41">
        <f t="shared" si="8"/>
        <v>6.180800000000005</v>
      </c>
      <c r="CY7" s="52">
        <f t="shared" si="9"/>
        <v>2.9144818740805031E-2</v>
      </c>
      <c r="DA7" s="59" t="s">
        <v>36</v>
      </c>
      <c r="DB7" s="60">
        <v>280.56123500000001</v>
      </c>
      <c r="DC7" s="61">
        <v>0.1840338933052405</v>
      </c>
      <c r="DD7" s="62">
        <v>0.3172002082803777</v>
      </c>
      <c r="DE7" s="62">
        <v>0.25314434440666789</v>
      </c>
      <c r="DF7" s="60">
        <v>71.022489900000096</v>
      </c>
      <c r="DG7" s="62">
        <v>-0.103198437232428</v>
      </c>
      <c r="DH7" s="60">
        <v>-28.953480999999982</v>
      </c>
      <c r="DI7" s="41">
        <f t="shared" si="10"/>
        <v>-17.823400999999961</v>
      </c>
      <c r="DJ7" s="52">
        <f t="shared" si="11"/>
        <v>-5.385685622125834E-2</v>
      </c>
      <c r="DL7" s="59" t="s">
        <v>38</v>
      </c>
      <c r="DM7" s="60">
        <v>275.158816</v>
      </c>
      <c r="DN7" s="61">
        <v>0.17570641391137903</v>
      </c>
      <c r="DO7" s="62">
        <v>0.18645297571276076</v>
      </c>
      <c r="DP7" s="62">
        <v>0.13167356952429965</v>
      </c>
      <c r="DQ7" s="60">
        <v>36.231143488800001</v>
      </c>
      <c r="DR7" s="62">
        <v>4.8114123672977818E-3</v>
      </c>
      <c r="DS7" s="60">
        <v>1.3239025302734149</v>
      </c>
      <c r="DT7" s="41">
        <f t="shared" si="12"/>
        <v>-6.1883474697265797</v>
      </c>
      <c r="DU7" s="52">
        <f t="shared" si="13"/>
        <v>-2.1101581868674023E-2</v>
      </c>
    </row>
    <row r="8" spans="1:125" x14ac:dyDescent="0.25">
      <c r="A8" s="21" t="s">
        <v>175</v>
      </c>
      <c r="B8" s="12" t="e">
        <v>#N/A</v>
      </c>
      <c r="C8" s="22"/>
      <c r="D8" s="29" t="e">
        <v>#N/A</v>
      </c>
      <c r="E8" s="29" t="e">
        <v>#N/A</v>
      </c>
      <c r="F8" s="12" t="e">
        <v>#N/A</v>
      </c>
      <c r="G8" s="29" t="e">
        <v>#N/A</v>
      </c>
      <c r="H8" s="12" t="e">
        <v>#N/A</v>
      </c>
      <c r="I8" s="12"/>
      <c r="J8" s="12"/>
      <c r="K8" s="21" t="s">
        <v>40</v>
      </c>
      <c r="L8" s="12">
        <v>65.902309000000002</v>
      </c>
      <c r="M8" s="22">
        <v>0.10523165648470827</v>
      </c>
      <c r="N8" s="29">
        <v>0.29383162280399011</v>
      </c>
      <c r="O8" s="12">
        <v>19.364182400000004</v>
      </c>
      <c r="P8" s="12"/>
      <c r="R8" s="12">
        <v>59.980460999999991</v>
      </c>
      <c r="S8" s="22">
        <v>7.875330609201521E-2</v>
      </c>
      <c r="U8" s="21" t="s">
        <v>39</v>
      </c>
      <c r="V8" s="12">
        <v>59.980460999999991</v>
      </c>
      <c r="W8" s="22">
        <v>8.5136066337989938E-2</v>
      </c>
      <c r="X8" s="29">
        <v>9.1757028336277635E-2</v>
      </c>
      <c r="Y8" s="12">
        <v>5.5036288595999991</v>
      </c>
      <c r="Z8" s="12"/>
      <c r="AB8" s="40" t="s">
        <v>37</v>
      </c>
      <c r="AC8" s="41">
        <v>94.882213999999991</v>
      </c>
      <c r="AD8" s="42">
        <v>0.10057719692310878</v>
      </c>
      <c r="AE8" s="43">
        <v>0.28159743932619463</v>
      </c>
      <c r="AF8" s="41">
        <v>26.71858850000001</v>
      </c>
      <c r="AG8" s="12"/>
      <c r="AI8" s="40" t="s">
        <v>37</v>
      </c>
      <c r="AJ8" s="41">
        <v>94.882213999999991</v>
      </c>
      <c r="AK8" s="42">
        <v>9.3190753541099625E-2</v>
      </c>
      <c r="AL8" s="43">
        <v>0.28159743932619463</v>
      </c>
      <c r="AM8" s="41">
        <v>26.71858850000001</v>
      </c>
      <c r="AN8" s="12"/>
      <c r="AP8" s="40" t="s">
        <v>37</v>
      </c>
      <c r="AQ8" s="41">
        <v>94.882213999999991</v>
      </c>
      <c r="AR8" s="42">
        <v>9.197956242812548E-2</v>
      </c>
      <c r="AS8" s="43">
        <v>0.28159743932619463</v>
      </c>
      <c r="AT8" s="41">
        <v>26.71858850000001</v>
      </c>
      <c r="AU8" s="43">
        <v>0.12357189514991723</v>
      </c>
      <c r="AV8" s="41">
        <v>11.724775000000008</v>
      </c>
      <c r="AX8" s="40" t="s">
        <v>37</v>
      </c>
      <c r="AY8" s="41">
        <v>114.87946399999998</v>
      </c>
      <c r="AZ8" s="42">
        <v>0.10497173425953628</v>
      </c>
      <c r="BA8" s="43">
        <v>0.33977481277941901</v>
      </c>
      <c r="BB8" s="43">
        <v>0.29350438125303246</v>
      </c>
      <c r="BC8" s="41">
        <v>33.717626000000024</v>
      </c>
      <c r="BD8" s="43">
        <v>9.2931230946551174E-2</v>
      </c>
      <c r="BE8" s="41">
        <v>10.67589000000001</v>
      </c>
      <c r="BF8" s="41">
        <f t="shared" si="0"/>
        <v>-1.0488849999999985</v>
      </c>
      <c r="BG8" s="52">
        <f t="shared" si="1"/>
        <v>-3.0640664203366058E-2</v>
      </c>
      <c r="BI8" s="40" t="s">
        <v>37</v>
      </c>
      <c r="BJ8" s="41">
        <v>114.87946399999998</v>
      </c>
      <c r="BK8" s="42">
        <v>9.5825267574852907E-2</v>
      </c>
      <c r="BL8" s="43">
        <v>0.33977481277941901</v>
      </c>
      <c r="BM8" s="43">
        <v>0.29350438125303246</v>
      </c>
      <c r="BN8" s="41">
        <v>33.717626000000024</v>
      </c>
      <c r="BO8" s="43">
        <v>0.12785503595316242</v>
      </c>
      <c r="BP8" s="41">
        <v>14.687918000000025</v>
      </c>
      <c r="BQ8" s="41">
        <f t="shared" si="2"/>
        <v>4.012028000000015</v>
      </c>
      <c r="BR8" s="52">
        <f t="shared" si="3"/>
        <v>3.4923805006611242E-2</v>
      </c>
      <c r="BT8" s="40" t="s">
        <v>37</v>
      </c>
      <c r="BU8" s="41">
        <v>114.87946399999998</v>
      </c>
      <c r="BV8" s="42">
        <v>9.5825267574852935E-2</v>
      </c>
      <c r="BW8" s="43">
        <v>0.33977481277941901</v>
      </c>
      <c r="BX8" s="43">
        <v>0.29350438125303246</v>
      </c>
      <c r="BY8" s="41">
        <v>33.717626000000024</v>
      </c>
      <c r="BZ8" s="43">
        <v>0.1785252236204726</v>
      </c>
      <c r="CA8" s="41">
        <v>20.508882000000028</v>
      </c>
      <c r="CB8" s="41">
        <f t="shared" si="4"/>
        <v>5.8209640000000036</v>
      </c>
      <c r="CC8" s="52">
        <f t="shared" si="5"/>
        <v>5.0670187667310185E-2</v>
      </c>
      <c r="CE8" s="40" t="s">
        <v>37</v>
      </c>
      <c r="CF8" s="41">
        <v>114.87946399999998</v>
      </c>
      <c r="CG8" s="42">
        <v>9.5929179031265965E-2</v>
      </c>
      <c r="CH8" s="43">
        <v>0.33977481277941901</v>
      </c>
      <c r="CI8" s="43">
        <v>0.29350438125303246</v>
      </c>
      <c r="CJ8" s="41">
        <v>33.717626000000024</v>
      </c>
      <c r="CK8" s="43">
        <v>0.12259087490171451</v>
      </c>
      <c r="CL8" s="41">
        <v>14.083174000000014</v>
      </c>
      <c r="CM8" s="41">
        <f t="shared" si="6"/>
        <v>-6.4257080000000144</v>
      </c>
      <c r="CN8" s="52">
        <f t="shared" si="7"/>
        <v>-5.593434871875809E-2</v>
      </c>
      <c r="CP8" s="40" t="s">
        <v>37</v>
      </c>
      <c r="CQ8" s="41">
        <v>114.87946399999998</v>
      </c>
      <c r="CR8" s="42">
        <v>9.351029995973982E-2</v>
      </c>
      <c r="CS8" s="43">
        <v>0.33977481277941901</v>
      </c>
      <c r="CT8" s="43">
        <v>0.29350438125303246</v>
      </c>
      <c r="CU8" s="41">
        <v>33.717626000000024</v>
      </c>
      <c r="CV8" s="43">
        <v>0.14711167176058565</v>
      </c>
      <c r="CW8" s="41">
        <v>16.900110000000012</v>
      </c>
      <c r="CX8" s="41">
        <f t="shared" si="8"/>
        <v>2.8169359999999983</v>
      </c>
      <c r="CY8" s="52">
        <f t="shared" si="9"/>
        <v>2.4520796858871138E-2</v>
      </c>
      <c r="DA8" s="59" t="s">
        <v>37</v>
      </c>
      <c r="DB8" s="60">
        <v>145.98324300000002</v>
      </c>
      <c r="DC8" s="61">
        <v>9.575757879243367E-2</v>
      </c>
      <c r="DD8" s="62">
        <v>0.34942833661463457</v>
      </c>
      <c r="DE8" s="62">
        <v>0.10057388070355455</v>
      </c>
      <c r="DF8" s="60">
        <v>14.682101266200021</v>
      </c>
      <c r="DG8" s="62">
        <v>4.138954496304758E-2</v>
      </c>
      <c r="DH8" s="60">
        <v>6.0421800000000019</v>
      </c>
      <c r="DI8" s="41">
        <f t="shared" si="10"/>
        <v>-10.85793000000001</v>
      </c>
      <c r="DJ8" s="52">
        <f t="shared" si="11"/>
        <v>-0.10572212679753806</v>
      </c>
      <c r="DL8" s="59" t="s">
        <v>37</v>
      </c>
      <c r="DM8" s="60">
        <v>165.978309</v>
      </c>
      <c r="DN8" s="61">
        <v>0.10598771242519363</v>
      </c>
      <c r="DO8" s="62">
        <v>0.3404741545577501</v>
      </c>
      <c r="DP8" s="62">
        <v>0.10150463042734104</v>
      </c>
      <c r="DQ8" s="60">
        <v>16.847566914000026</v>
      </c>
      <c r="DR8" s="62">
        <v>0.10193837163089393</v>
      </c>
      <c r="DS8" s="60">
        <v>16.919558545509346</v>
      </c>
      <c r="DT8" s="41">
        <f t="shared" si="12"/>
        <v>10.877378545509345</v>
      </c>
      <c r="DU8" s="52">
        <f t="shared" si="13"/>
        <v>6.0548826667846355E-2</v>
      </c>
    </row>
    <row r="9" spans="1:125" x14ac:dyDescent="0.25">
      <c r="A9" s="21" t="s">
        <v>85</v>
      </c>
      <c r="B9" s="12" t="e">
        <v>#N/A</v>
      </c>
      <c r="C9" s="22"/>
      <c r="D9" s="29" t="e">
        <v>#N/A</v>
      </c>
      <c r="E9" s="29" t="e">
        <v>#N/A</v>
      </c>
      <c r="F9" s="12" t="e">
        <v>#N/A</v>
      </c>
      <c r="G9" s="29" t="e">
        <v>#N/A</v>
      </c>
      <c r="H9" s="12" t="e">
        <v>#N/A</v>
      </c>
      <c r="I9" s="12"/>
      <c r="J9" s="12"/>
      <c r="K9" s="21" t="s">
        <v>74</v>
      </c>
      <c r="L9" s="12">
        <v>2.9170551999999998E-16</v>
      </c>
      <c r="M9" s="22">
        <v>4.657902817234096E-19</v>
      </c>
      <c r="N9" s="29">
        <v>9.799364235548258E-2</v>
      </c>
      <c r="O9" s="12">
        <v>2.8585286400000075E-17</v>
      </c>
      <c r="P9" s="12"/>
      <c r="R9" s="12">
        <v>2.9170551999999998E-16</v>
      </c>
      <c r="S9" s="22">
        <v>3.830042937697739E-19</v>
      </c>
      <c r="U9" s="21" t="s">
        <v>74</v>
      </c>
      <c r="V9" s="12">
        <v>2.9170551999999998E-16</v>
      </c>
      <c r="W9" s="22">
        <v>4.1404584239320622E-19</v>
      </c>
      <c r="X9" s="29">
        <v>9.799364235548258E-2</v>
      </c>
      <c r="Y9" s="12">
        <v>2.8585286400000075E-17</v>
      </c>
      <c r="Z9" s="12"/>
      <c r="AB9" s="40" t="s">
        <v>39</v>
      </c>
      <c r="AC9" s="41">
        <v>59.980460999999991</v>
      </c>
      <c r="AD9" s="42">
        <v>6.35805846345011E-2</v>
      </c>
      <c r="AE9" s="43">
        <v>9.1757028336277635E-2</v>
      </c>
      <c r="AF9" s="41">
        <v>5.5036288595999991</v>
      </c>
      <c r="AG9" s="12"/>
      <c r="AI9" s="40" t="s">
        <v>39</v>
      </c>
      <c r="AJ9" s="41">
        <v>46.022978999999999</v>
      </c>
      <c r="AK9" s="42">
        <v>4.5202529667111309E-2</v>
      </c>
      <c r="AL9" s="43">
        <v>0.12015729349462578</v>
      </c>
      <c r="AM9" s="41">
        <v>5.5299965951999965</v>
      </c>
      <c r="AN9" s="12">
        <v>2.76</v>
      </c>
      <c r="AP9" s="40" t="s">
        <v>39</v>
      </c>
      <c r="AQ9" s="41">
        <v>46.022978999999999</v>
      </c>
      <c r="AR9" s="42">
        <v>4.4615036808255848E-2</v>
      </c>
      <c r="AS9" s="43">
        <v>0.12015729349462578</v>
      </c>
      <c r="AT9" s="41">
        <v>5.5299965951999965</v>
      </c>
      <c r="AU9" s="43">
        <v>-3.8592156322605695E-2</v>
      </c>
      <c r="AV9" s="41">
        <v>-1.7761259999999979</v>
      </c>
      <c r="AX9" s="40" t="s">
        <v>39</v>
      </c>
      <c r="AY9" s="41">
        <v>66.005799999999994</v>
      </c>
      <c r="AZ9" s="42">
        <v>6.0313158295969248E-2</v>
      </c>
      <c r="BA9" s="43">
        <v>0.35603887350051061</v>
      </c>
      <c r="BB9" s="43">
        <v>0.10497250340424635</v>
      </c>
      <c r="BC9" s="41">
        <v>6.9287940652000088</v>
      </c>
      <c r="BD9" s="43">
        <v>-1.2304873208111702E-2</v>
      </c>
      <c r="BE9" s="41">
        <v>-0.81219299999997929</v>
      </c>
      <c r="BF9" s="41">
        <f t="shared" si="0"/>
        <v>0.96393300000001858</v>
      </c>
      <c r="BG9" s="52">
        <f t="shared" si="1"/>
        <v>2.6287283114493992E-2</v>
      </c>
      <c r="BI9" s="40" t="s">
        <v>39</v>
      </c>
      <c r="BJ9" s="41">
        <v>66.009600999999989</v>
      </c>
      <c r="BK9" s="42">
        <v>5.5061082791388008E-2</v>
      </c>
      <c r="BL9" s="43">
        <v>0.35602771752551582</v>
      </c>
      <c r="BM9" s="43">
        <v>0.10497048959893007</v>
      </c>
      <c r="BN9" s="41">
        <v>6.9290601352000181</v>
      </c>
      <c r="BO9" s="43">
        <v>-2.4279028743106196E-2</v>
      </c>
      <c r="BP9" s="41">
        <v>-1.6026489999999711</v>
      </c>
      <c r="BQ9" s="41">
        <f t="shared" si="2"/>
        <v>-0.79045599999999183</v>
      </c>
      <c r="BR9" s="52">
        <f t="shared" si="3"/>
        <v>-1.1974155534994493E-2</v>
      </c>
      <c r="BT9" s="40" t="s">
        <v>39</v>
      </c>
      <c r="BU9" s="41">
        <v>66.009600999999989</v>
      </c>
      <c r="BV9" s="42">
        <v>5.5061082791388022E-2</v>
      </c>
      <c r="BW9" s="43">
        <v>0.35602771752551582</v>
      </c>
      <c r="BX9" s="43">
        <v>0.10497048959893007</v>
      </c>
      <c r="BY9" s="41">
        <v>6.9290601352000181</v>
      </c>
      <c r="BZ9" s="43">
        <v>-3.102580486738566E-2</v>
      </c>
      <c r="CA9" s="41">
        <v>-2.0480009999999851</v>
      </c>
      <c r="CB9" s="41">
        <f t="shared" si="4"/>
        <v>-0.44535200000001396</v>
      </c>
      <c r="CC9" s="52">
        <f t="shared" si="5"/>
        <v>-6.7467761242794647E-3</v>
      </c>
      <c r="CE9" s="40" t="s">
        <v>39</v>
      </c>
      <c r="CF9" s="41">
        <v>66.009600999999989</v>
      </c>
      <c r="CG9" s="42">
        <v>5.5120790188500815E-2</v>
      </c>
      <c r="CH9" s="43">
        <v>0.35602771752551582</v>
      </c>
      <c r="CI9" s="43">
        <v>0.10497048959893007</v>
      </c>
      <c r="CJ9" s="41">
        <v>6.9290601352000181</v>
      </c>
      <c r="CK9" s="43">
        <v>-8.447478723587476E-2</v>
      </c>
      <c r="CL9" s="41">
        <v>-5.5761469999999846</v>
      </c>
      <c r="CM9" s="41">
        <f t="shared" si="6"/>
        <v>-3.5281459999999996</v>
      </c>
      <c r="CN9" s="52">
        <f t="shared" si="7"/>
        <v>-5.3448982368489099E-2</v>
      </c>
      <c r="CP9" s="40" t="s">
        <v>39</v>
      </c>
      <c r="CQ9" s="41">
        <v>66.009600999999989</v>
      </c>
      <c r="CR9" s="42">
        <v>5.3730905201061364E-2</v>
      </c>
      <c r="CS9" s="43">
        <v>0.35602771752551582</v>
      </c>
      <c r="CT9" s="43">
        <v>0.10497048959893007</v>
      </c>
      <c r="CU9" s="41">
        <v>6.9290601352000181</v>
      </c>
      <c r="CV9" s="43">
        <v>-6.0642708626582734E-2</v>
      </c>
      <c r="CW9" s="41">
        <v>-4.0030009999999834</v>
      </c>
      <c r="CX9" s="41">
        <f t="shared" si="8"/>
        <v>1.5731460000000013</v>
      </c>
      <c r="CY9" s="52">
        <f t="shared" si="9"/>
        <v>2.3832078609292026E-2</v>
      </c>
      <c r="DA9" s="59" t="s">
        <v>39</v>
      </c>
      <c r="DB9" s="60">
        <v>66.009600999999989</v>
      </c>
      <c r="DC9" s="61">
        <v>4.3298939240681254E-2</v>
      </c>
      <c r="DD9" s="62">
        <v>0.35602771752551582</v>
      </c>
      <c r="DE9" s="62">
        <v>0.10497048959893007</v>
      </c>
      <c r="DF9" s="60">
        <v>6.9290601352000181</v>
      </c>
      <c r="DG9" s="62">
        <v>-5.5669568431416197E-2</v>
      </c>
      <c r="DH9" s="60">
        <v>-3.6747259999999784</v>
      </c>
      <c r="DI9" s="41">
        <f t="shared" si="10"/>
        <v>0.32827500000000498</v>
      </c>
      <c r="DJ9" s="52">
        <f t="shared" si="11"/>
        <v>4.9731401951665366E-3</v>
      </c>
      <c r="DL9" s="59" t="s">
        <v>39</v>
      </c>
      <c r="DM9" s="60">
        <v>66.009600999999989</v>
      </c>
      <c r="DN9" s="61">
        <v>4.2151330798832112E-2</v>
      </c>
      <c r="DO9" s="62">
        <v>0.35602771752551582</v>
      </c>
      <c r="DP9" s="62">
        <v>0.10497048959893007</v>
      </c>
      <c r="DQ9" s="60">
        <v>6.9290601352000181</v>
      </c>
      <c r="DR9" s="62">
        <v>-4.4952371742504688E-2</v>
      </c>
      <c r="DS9" s="60">
        <v>-2.9672881227264085</v>
      </c>
      <c r="DT9" s="41">
        <f t="shared" si="12"/>
        <v>0.70743787727356988</v>
      </c>
      <c r="DU9" s="52">
        <f t="shared" si="13"/>
        <v>1.0717196688911509E-2</v>
      </c>
    </row>
    <row r="10" spans="1:125" x14ac:dyDescent="0.25">
      <c r="A10" s="21" t="s">
        <v>178</v>
      </c>
      <c r="B10" s="12" t="e">
        <v>#N/A</v>
      </c>
      <c r="C10" s="22"/>
      <c r="D10" s="29" t="e">
        <v>#N/A</v>
      </c>
      <c r="E10" s="29" t="e">
        <v>#N/A</v>
      </c>
      <c r="F10" s="12" t="e">
        <v>#N/A</v>
      </c>
      <c r="G10" s="29" t="e">
        <v>#N/A</v>
      </c>
      <c r="H10" s="12" t="e">
        <v>#N/A</v>
      </c>
      <c r="I10" s="12"/>
      <c r="J10" s="12"/>
      <c r="K10" s="21" t="s">
        <v>94</v>
      </c>
      <c r="L10" s="12">
        <v>3.8291999999999999E-17</v>
      </c>
      <c r="M10" s="22">
        <v>6.1143997095950747E-20</v>
      </c>
      <c r="N10" s="29">
        <v>0.19999999999999996</v>
      </c>
      <c r="O10" s="12">
        <v>7.6584000000000023E-18</v>
      </c>
      <c r="P10" s="12"/>
      <c r="R10" s="12">
        <v>3.8291999999999999E-17</v>
      </c>
      <c r="S10" s="22">
        <v>5.0276732565884192E-20</v>
      </c>
      <c r="U10" s="21" t="s">
        <v>94</v>
      </c>
      <c r="V10" s="12">
        <v>3.8291999999999999E-17</v>
      </c>
      <c r="W10" s="22">
        <v>5.4351537114966676E-20</v>
      </c>
      <c r="X10" s="29">
        <v>0.19999999999999996</v>
      </c>
      <c r="Y10" s="12">
        <v>7.6584000000000023E-18</v>
      </c>
      <c r="Z10" s="12"/>
      <c r="AB10" s="40" t="s">
        <v>94</v>
      </c>
      <c r="AC10" s="41">
        <v>9.99925</v>
      </c>
      <c r="AD10" s="42">
        <v>1.0599421049907156E-2</v>
      </c>
      <c r="AE10" s="43">
        <v>0.19999999999999996</v>
      </c>
      <c r="AF10" s="41">
        <v>1.9998499999999986</v>
      </c>
      <c r="AG10" s="12"/>
      <c r="AI10" s="40" t="s">
        <v>94</v>
      </c>
      <c r="AJ10" s="41">
        <v>9.99925</v>
      </c>
      <c r="AK10" s="42">
        <v>9.8209938729490499E-3</v>
      </c>
      <c r="AL10" s="43">
        <v>0.19999999999999996</v>
      </c>
      <c r="AM10" s="41">
        <v>1.9998499999999986</v>
      </c>
      <c r="AN10" s="12"/>
      <c r="AP10" s="40" t="s">
        <v>94</v>
      </c>
      <c r="AQ10" s="41">
        <v>9.99925</v>
      </c>
      <c r="AR10" s="42">
        <v>9.6933513757323769E-3</v>
      </c>
      <c r="AS10" s="43">
        <v>0.19999999999999996</v>
      </c>
      <c r="AT10" s="41">
        <v>1.9998499999999986</v>
      </c>
      <c r="AU10" s="43">
        <v>-4.4853364002300271E-2</v>
      </c>
      <c r="AV10" s="41">
        <v>-0.44850000000000101</v>
      </c>
      <c r="AX10" s="40" t="s">
        <v>94</v>
      </c>
      <c r="AY10" s="41">
        <v>9.99925</v>
      </c>
      <c r="AZ10" s="42">
        <v>9.1368690037992202E-3</v>
      </c>
      <c r="BA10" s="43">
        <v>0.2</v>
      </c>
      <c r="BB10" s="43">
        <v>0.19999999999999996</v>
      </c>
      <c r="BC10" s="41">
        <v>1.9998499999999986</v>
      </c>
      <c r="BD10" s="43">
        <v>1.2650948821161415E-2</v>
      </c>
      <c r="BE10" s="41">
        <v>0.12649999999999828</v>
      </c>
      <c r="BF10" s="41">
        <f t="shared" si="0"/>
        <v>0.57499999999999929</v>
      </c>
      <c r="BG10" s="52">
        <f t="shared" si="1"/>
        <v>5.750431282346169E-2</v>
      </c>
      <c r="BI10" s="40" t="s">
        <v>94</v>
      </c>
      <c r="BJ10" s="41">
        <v>9.99925</v>
      </c>
      <c r="BK10" s="42">
        <v>8.3407492813323721E-3</v>
      </c>
      <c r="BL10" s="43">
        <v>0.2</v>
      </c>
      <c r="BM10" s="43">
        <v>0.19999999999999996</v>
      </c>
      <c r="BN10" s="41">
        <v>1.9998499999999986</v>
      </c>
      <c r="BO10" s="43">
        <v>2.1851638872915351E-2</v>
      </c>
      <c r="BP10" s="41">
        <v>0.21849999999999881</v>
      </c>
      <c r="BQ10" s="41">
        <f t="shared" si="2"/>
        <v>9.2000000000000526E-2</v>
      </c>
      <c r="BR10" s="52">
        <f t="shared" si="3"/>
        <v>9.2006900517539354E-3</v>
      </c>
      <c r="BT10" s="40" t="s">
        <v>94</v>
      </c>
      <c r="BU10" s="41">
        <v>9.99925</v>
      </c>
      <c r="BV10" s="42">
        <v>8.3407492813323738E-3</v>
      </c>
      <c r="BW10" s="43">
        <v>0.2</v>
      </c>
      <c r="BX10" s="43">
        <v>0.19999999999999996</v>
      </c>
      <c r="BY10" s="41">
        <v>1.9998499999999986</v>
      </c>
      <c r="BZ10" s="43">
        <v>-7.418056354226564E-2</v>
      </c>
      <c r="CA10" s="41">
        <v>-0.74174999999999969</v>
      </c>
      <c r="CB10" s="41">
        <f t="shared" si="4"/>
        <v>-0.96024999999999849</v>
      </c>
      <c r="CC10" s="52">
        <f t="shared" si="5"/>
        <v>-9.6032202415180984E-2</v>
      </c>
      <c r="CE10" s="40" t="s">
        <v>94</v>
      </c>
      <c r="CF10" s="41">
        <v>9.99925</v>
      </c>
      <c r="CG10" s="42">
        <v>8.3497938624468721E-3</v>
      </c>
      <c r="CH10" s="43">
        <v>0.2</v>
      </c>
      <c r="CI10" s="43">
        <v>0.19999999999999996</v>
      </c>
      <c r="CJ10" s="41">
        <v>1.9998499999999986</v>
      </c>
      <c r="CK10" s="43">
        <v>-7.418056354226564E-2</v>
      </c>
      <c r="CL10" s="41">
        <v>-0.74174999999999969</v>
      </c>
      <c r="CM10" s="41">
        <f t="shared" si="6"/>
        <v>0</v>
      </c>
      <c r="CN10" s="52">
        <f t="shared" si="7"/>
        <v>0</v>
      </c>
      <c r="CP10" s="40" t="s">
        <v>94</v>
      </c>
      <c r="CQ10" s="41">
        <v>9.99925</v>
      </c>
      <c r="CR10" s="42">
        <v>8.1392516496458286E-3</v>
      </c>
      <c r="CS10" s="43">
        <v>0.2</v>
      </c>
      <c r="CT10" s="43">
        <v>0.19999999999999996</v>
      </c>
      <c r="CU10" s="41">
        <v>1.9998499999999986</v>
      </c>
      <c r="CV10" s="43">
        <v>-8.9131684876365844E-2</v>
      </c>
      <c r="CW10" s="41">
        <v>-0.89125000000000121</v>
      </c>
      <c r="CX10" s="41">
        <f t="shared" si="8"/>
        <v>-0.14950000000000152</v>
      </c>
      <c r="CY10" s="52">
        <f t="shared" si="9"/>
        <v>-1.4951121334100204E-2</v>
      </c>
      <c r="DA10" s="59" t="s">
        <v>94</v>
      </c>
      <c r="DB10" s="60">
        <v>9.99925</v>
      </c>
      <c r="DC10" s="61">
        <v>6.5589991704749443E-3</v>
      </c>
      <c r="DD10" s="62">
        <v>0.2</v>
      </c>
      <c r="DE10" s="62">
        <v>0.19999999999999996</v>
      </c>
      <c r="DF10" s="60">
        <v>1.9998499999999986</v>
      </c>
      <c r="DG10" s="62">
        <v>-0.23361127084531341</v>
      </c>
      <c r="DH10" s="60">
        <v>-2.3359375</v>
      </c>
      <c r="DI10" s="41">
        <f t="shared" si="10"/>
        <v>-1.4446874999999988</v>
      </c>
      <c r="DJ10" s="52">
        <f t="shared" si="11"/>
        <v>-0.14447958596894755</v>
      </c>
      <c r="DL10" s="59" t="s">
        <v>94</v>
      </c>
      <c r="DM10" s="60">
        <v>19.996548000000001</v>
      </c>
      <c r="DN10" s="61">
        <v>1.2769068390259241E-2</v>
      </c>
      <c r="DO10" s="62">
        <v>0.2</v>
      </c>
      <c r="DP10" s="62">
        <v>0.19999999999999996</v>
      </c>
      <c r="DQ10" s="60">
        <v>3.9993096000000001</v>
      </c>
      <c r="DR10" s="62">
        <v>-6.519066363683057E-2</v>
      </c>
      <c r="DS10" s="60">
        <v>-1.303588234565737</v>
      </c>
      <c r="DT10" s="41">
        <f t="shared" si="12"/>
        <v>1.032349265434263</v>
      </c>
      <c r="DU10" s="52">
        <f t="shared" si="13"/>
        <v>0.16842060720848284</v>
      </c>
    </row>
    <row r="11" spans="1:125" x14ac:dyDescent="0.25">
      <c r="A11" s="74" t="s">
        <v>92</v>
      </c>
      <c r="B11" s="12">
        <v>119.940084</v>
      </c>
      <c r="C11" s="22"/>
      <c r="D11" s="29">
        <v>0.40289999999999998</v>
      </c>
      <c r="E11" s="29">
        <v>0.41307814992025516</v>
      </c>
      <c r="F11" s="12">
        <v>49.544628000000003</v>
      </c>
      <c r="G11" s="29">
        <v>-0.14274322169059009</v>
      </c>
      <c r="H11" s="12">
        <v>-17.120633999999995</v>
      </c>
      <c r="I11" s="12"/>
      <c r="J11" s="12"/>
      <c r="K11" s="21" t="s">
        <v>85</v>
      </c>
      <c r="L11" s="12">
        <v>1.3353E-17</v>
      </c>
      <c r="M11" s="22">
        <v>2.1321837282519334E-20</v>
      </c>
      <c r="N11" s="29">
        <v>7.0000000000000062E-2</v>
      </c>
      <c r="O11" s="12">
        <v>9.3470999999999986E-19</v>
      </c>
      <c r="P11" s="12"/>
      <c r="R11" s="12">
        <v>1.3353E-17</v>
      </c>
      <c r="S11" s="22">
        <v>1.7532257650481865E-20</v>
      </c>
      <c r="U11" s="21" t="s">
        <v>85</v>
      </c>
      <c r="V11" s="12">
        <v>1.3353E-17</v>
      </c>
      <c r="W11" s="22">
        <v>1.8953203674296199E-20</v>
      </c>
      <c r="X11" s="29">
        <v>7.0000000000000062E-2</v>
      </c>
      <c r="Y11" s="12">
        <v>9.3470999999999986E-19</v>
      </c>
      <c r="Z11" s="12"/>
      <c r="AB11" s="40" t="s">
        <v>74</v>
      </c>
      <c r="AC11" s="41">
        <v>2.9170551999999998E-16</v>
      </c>
      <c r="AD11" s="42">
        <v>3.0921415396775884E-19</v>
      </c>
      <c r="AE11" s="43">
        <v>9.799364235548258E-2</v>
      </c>
      <c r="AF11" s="41">
        <v>2.8585286400000075E-17</v>
      </c>
      <c r="AG11" s="12"/>
      <c r="AI11" s="40" t="s">
        <v>74</v>
      </c>
      <c r="AJ11" s="41">
        <v>2.9170551999999998E-16</v>
      </c>
      <c r="AK11" s="42">
        <v>2.8650530036006862E-19</v>
      </c>
      <c r="AL11" s="43">
        <v>9.799364235548258E-2</v>
      </c>
      <c r="AM11" s="41">
        <v>2.8585286400000075E-17</v>
      </c>
      <c r="AN11" s="12"/>
      <c r="AP11" s="40" t="s">
        <v>74</v>
      </c>
      <c r="AQ11" s="41">
        <v>2.9136552000000001E-16</v>
      </c>
      <c r="AR11" s="42">
        <v>2.8245202031482155E-19</v>
      </c>
      <c r="AS11" s="43">
        <v>9.9274912144717842E-2</v>
      </c>
      <c r="AT11" s="41">
        <v>2.8925286400000047E-17</v>
      </c>
      <c r="AU11" s="43">
        <v>-0.94049398844448029</v>
      </c>
      <c r="AV11" s="41">
        <v>-2.7402751999999999E-16</v>
      </c>
      <c r="AX11" s="40" t="s">
        <v>74</v>
      </c>
      <c r="AY11" s="41">
        <v>2.9136552000000001E-16</v>
      </c>
      <c r="AZ11" s="42">
        <v>2.6623682660837979E-19</v>
      </c>
      <c r="BA11" s="43">
        <v>0.48159901967810059</v>
      </c>
      <c r="BB11" s="43">
        <v>9.9274912144717842E-2</v>
      </c>
      <c r="BC11" s="41">
        <v>2.8925286400000047E-17</v>
      </c>
      <c r="BD11" s="43">
        <v>-0.94150045619673872</v>
      </c>
      <c r="BE11" s="41">
        <v>-2.7432077E-16</v>
      </c>
      <c r="BF11" s="41">
        <f t="shared" si="0"/>
        <v>-2.9325000000000728E-19</v>
      </c>
      <c r="BG11" s="52">
        <f t="shared" si="1"/>
        <v>-1.0064677522584331E-3</v>
      </c>
      <c r="BI11" s="40" t="s">
        <v>74</v>
      </c>
      <c r="BJ11" s="41">
        <v>2.9136552000000001E-16</v>
      </c>
      <c r="BK11" s="42">
        <v>2.430389030722337E-19</v>
      </c>
      <c r="BL11" s="43">
        <v>0.48159901967810059</v>
      </c>
      <c r="BM11" s="43">
        <v>9.9274912144717842E-2</v>
      </c>
      <c r="BN11" s="41">
        <v>2.8925286400000047E-17</v>
      </c>
      <c r="BO11" s="43">
        <v>-0.94102184774643205</v>
      </c>
      <c r="BP11" s="41">
        <v>-2.7418132000000001E-16</v>
      </c>
      <c r="BQ11" s="41">
        <f t="shared" si="2"/>
        <v>1.3944999999998888E-19</v>
      </c>
      <c r="BR11" s="52">
        <f t="shared" si="3"/>
        <v>4.7860845030667232E-4</v>
      </c>
      <c r="BT11" s="40" t="s">
        <v>74</v>
      </c>
      <c r="BU11" s="41">
        <v>2.9136552000000001E-16</v>
      </c>
      <c r="BV11" s="42">
        <v>2.4303890307223375E-19</v>
      </c>
      <c r="BW11" s="43">
        <v>0.48159901967810059</v>
      </c>
      <c r="BX11" s="43">
        <v>9.9274912144717842E-2</v>
      </c>
      <c r="BY11" s="41">
        <v>2.8925286400000047E-17</v>
      </c>
      <c r="BZ11" s="43">
        <v>-0.94205463982148607</v>
      </c>
      <c r="CA11" s="41">
        <v>-2.7448224000000002E-16</v>
      </c>
      <c r="CB11" s="41">
        <f t="shared" si="4"/>
        <v>-3.0092000000000687E-19</v>
      </c>
      <c r="CC11" s="52">
        <f t="shared" si="5"/>
        <v>-1.0327920750540232E-3</v>
      </c>
      <c r="CE11" s="40" t="s">
        <v>74</v>
      </c>
      <c r="CF11" s="41">
        <v>2.9136552000000001E-16</v>
      </c>
      <c r="CG11" s="42">
        <v>2.4330245074627008E-19</v>
      </c>
      <c r="CH11" s="43">
        <v>0.48159901967810059</v>
      </c>
      <c r="CI11" s="43">
        <v>9.9274912144717842E-2</v>
      </c>
      <c r="CJ11" s="41">
        <v>2.8925286400000047E-17</v>
      </c>
      <c r="CK11" s="43">
        <v>0</v>
      </c>
      <c r="CL11" s="41">
        <v>0</v>
      </c>
      <c r="CM11" s="41">
        <f t="shared" si="6"/>
        <v>2.7448224000000002E-16</v>
      </c>
      <c r="CN11" s="52">
        <f t="shared" si="7"/>
        <v>0.94205463982148607</v>
      </c>
      <c r="CP11" s="40" t="s">
        <v>74</v>
      </c>
      <c r="CQ11" s="41">
        <v>2.9136552000000001E-16</v>
      </c>
      <c r="CR11" s="42">
        <v>2.3716751649472856E-19</v>
      </c>
      <c r="CS11" s="43">
        <v>0.48159901967810059</v>
      </c>
      <c r="CT11" s="43">
        <v>9.9274912144717842E-2</v>
      </c>
      <c r="CU11" s="41">
        <v>2.8925286400000047E-17</v>
      </c>
      <c r="CV11" s="43">
        <v>0</v>
      </c>
      <c r="CW11" s="41">
        <v>0</v>
      </c>
      <c r="CX11" s="41">
        <f t="shared" si="8"/>
        <v>0</v>
      </c>
      <c r="CY11" s="52">
        <f t="shared" si="9"/>
        <v>0</v>
      </c>
      <c r="DA11" s="59" t="s">
        <v>74</v>
      </c>
      <c r="DB11" s="60">
        <v>2.9136552000000001E-16</v>
      </c>
      <c r="DC11" s="61">
        <v>1.9112095447008535E-19</v>
      </c>
      <c r="DD11" s="62">
        <v>0.48159901967810059</v>
      </c>
      <c r="DE11" s="62">
        <v>9.9274912144717842E-2</v>
      </c>
      <c r="DF11" s="60">
        <v>2.8925286400000047E-17</v>
      </c>
      <c r="DG11" s="62">
        <v>0</v>
      </c>
      <c r="DH11" s="60">
        <v>0</v>
      </c>
      <c r="DI11" s="41">
        <f t="shared" si="10"/>
        <v>0</v>
      </c>
      <c r="DJ11" s="52">
        <f t="shared" si="11"/>
        <v>0</v>
      </c>
      <c r="DL11" s="59" t="s">
        <v>74</v>
      </c>
      <c r="DM11" s="60">
        <v>2.9136552000000001E-16</v>
      </c>
      <c r="DN11" s="61">
        <v>1.8605542573865483E-19</v>
      </c>
      <c r="DO11" s="62">
        <v>0.48159901967810059</v>
      </c>
      <c r="DP11" s="62">
        <v>9.9274912144717842E-2</v>
      </c>
      <c r="DQ11" s="60">
        <v>2.8925286400000047E-17</v>
      </c>
      <c r="DR11" s="62">
        <v>0.16349508554222564</v>
      </c>
      <c r="DS11" s="60">
        <v>4.7636830616455058E-17</v>
      </c>
      <c r="DT11" s="41">
        <f t="shared" si="12"/>
        <v>4.7636830616455058E-17</v>
      </c>
      <c r="DU11" s="52">
        <f t="shared" si="13"/>
        <v>0.16349508554222564</v>
      </c>
    </row>
    <row r="12" spans="1:125" x14ac:dyDescent="0.25">
      <c r="A12" s="74" t="s">
        <v>101</v>
      </c>
      <c r="B12" s="12">
        <v>80.001304999999988</v>
      </c>
      <c r="C12" s="22"/>
      <c r="D12" s="29">
        <v>0.53110000000000002</v>
      </c>
      <c r="E12" s="29">
        <v>0.37779002480022061</v>
      </c>
      <c r="F12" s="12">
        <v>30.223695000000006</v>
      </c>
      <c r="G12" s="29">
        <v>-0.19647286174119288</v>
      </c>
      <c r="H12" s="12">
        <v>-15.71808533638</v>
      </c>
      <c r="I12" s="12"/>
      <c r="J12" s="12"/>
      <c r="K12" s="21" t="s">
        <v>71</v>
      </c>
      <c r="L12" s="12">
        <v>5.5999999999999995E-18</v>
      </c>
      <c r="M12" s="22">
        <v>8.9419822348616982E-21</v>
      </c>
      <c r="N12" s="29">
        <v>7.0000000000000062E-2</v>
      </c>
      <c r="O12" s="12">
        <v>3.9200000000000069E-19</v>
      </c>
      <c r="P12" s="12"/>
      <c r="R12" s="12">
        <v>5.5999999999999995E-18</v>
      </c>
      <c r="S12" s="22">
        <v>7.3527029763123223E-21</v>
      </c>
      <c r="U12" s="21" t="s">
        <v>71</v>
      </c>
      <c r="V12" s="12">
        <v>5.5999999999999995E-18</v>
      </c>
      <c r="W12" s="22">
        <v>7.9486213267474501E-21</v>
      </c>
      <c r="X12" s="29">
        <v>7.0000000000000062E-2</v>
      </c>
      <c r="Y12" s="12">
        <v>3.9200000000000069E-19</v>
      </c>
      <c r="Z12" s="12"/>
      <c r="AB12" s="40" t="s">
        <v>85</v>
      </c>
      <c r="AC12" s="41">
        <v>1.3353E-17</v>
      </c>
      <c r="AD12" s="42">
        <v>1.4154468513079507E-20</v>
      </c>
      <c r="AE12" s="43">
        <v>7.0000000000000062E-2</v>
      </c>
      <c r="AF12" s="41">
        <v>9.3470999999999986E-19</v>
      </c>
      <c r="AG12" s="12"/>
      <c r="AI12" s="40" t="s">
        <v>85</v>
      </c>
      <c r="AJ12" s="41">
        <v>1.3353E-17</v>
      </c>
      <c r="AK12" s="42">
        <v>1.3114956740304389E-20</v>
      </c>
      <c r="AL12" s="43">
        <v>7.0000000000000062E-2</v>
      </c>
      <c r="AM12" s="41">
        <v>9.3470999999999986E-19</v>
      </c>
      <c r="AN12" s="12"/>
      <c r="AP12" s="40" t="s">
        <v>85</v>
      </c>
      <c r="AQ12" s="41">
        <v>1.3353E-17</v>
      </c>
      <c r="AR12" s="42">
        <v>1.2944502929735173E-20</v>
      </c>
      <c r="AS12" s="43">
        <v>7.0000000000000062E-2</v>
      </c>
      <c r="AT12" s="41">
        <v>9.3470999999999986E-19</v>
      </c>
      <c r="AU12" s="43">
        <v>0.11300831273871043</v>
      </c>
      <c r="AV12" s="41">
        <v>1.5090000000000002E-18</v>
      </c>
      <c r="AX12" s="40" t="s">
        <v>85</v>
      </c>
      <c r="AY12" s="41">
        <v>1.3353E-17</v>
      </c>
      <c r="AZ12" s="42">
        <v>1.2201376283994398E-20</v>
      </c>
      <c r="BA12" s="43">
        <v>0.2</v>
      </c>
      <c r="BB12" s="43">
        <v>7.0000000000000062E-2</v>
      </c>
      <c r="BC12" s="41">
        <v>9.3470999999999986E-19</v>
      </c>
      <c r="BD12" s="43">
        <v>8.5748520931625716E-2</v>
      </c>
      <c r="BE12" s="41">
        <v>1.1449999999999981E-18</v>
      </c>
      <c r="BF12" s="41">
        <f t="shared" si="0"/>
        <v>-3.6400000000000207E-19</v>
      </c>
      <c r="BG12" s="52">
        <f t="shared" si="1"/>
        <v>-2.725979180708471E-2</v>
      </c>
      <c r="BI12" s="40" t="s">
        <v>85</v>
      </c>
      <c r="BJ12" s="41">
        <v>1.3353E-17</v>
      </c>
      <c r="BK12" s="42">
        <v>1.1138237883204356E-20</v>
      </c>
      <c r="BL12" s="43">
        <v>0.2</v>
      </c>
      <c r="BM12" s="43">
        <v>7.0000000000000062E-2</v>
      </c>
      <c r="BN12" s="41">
        <v>9.3470999999999986E-19</v>
      </c>
      <c r="BO12" s="43">
        <v>0.16168651239421847</v>
      </c>
      <c r="BP12" s="41">
        <v>2.1589999999999991E-18</v>
      </c>
      <c r="BQ12" s="41">
        <f t="shared" si="2"/>
        <v>1.0140000000000009E-18</v>
      </c>
      <c r="BR12" s="52">
        <f t="shared" si="3"/>
        <v>7.5937991462592752E-2</v>
      </c>
      <c r="BT12" s="40" t="s">
        <v>85</v>
      </c>
      <c r="BU12" s="41">
        <v>1.3353E-17</v>
      </c>
      <c r="BV12" s="42">
        <v>1.1138237883204359E-20</v>
      </c>
      <c r="BW12" s="43">
        <v>0.2</v>
      </c>
      <c r="BX12" s="43">
        <v>7.0000000000000062E-2</v>
      </c>
      <c r="BY12" s="41">
        <v>9.3470999999999986E-19</v>
      </c>
      <c r="BZ12" s="43">
        <v>9.5633939938590595E-2</v>
      </c>
      <c r="CA12" s="41">
        <v>1.2770000000000002E-18</v>
      </c>
      <c r="CB12" s="41">
        <f t="shared" si="4"/>
        <v>-8.8199999999999885E-19</v>
      </c>
      <c r="CC12" s="52">
        <f t="shared" si="5"/>
        <v>-6.6052572455627873E-2</v>
      </c>
      <c r="CE12" s="40" t="s">
        <v>85</v>
      </c>
      <c r="CF12" s="41">
        <v>1.3353E-17</v>
      </c>
      <c r="CG12" s="42">
        <v>1.1150316018226674E-20</v>
      </c>
      <c r="CH12" s="43">
        <v>0.2</v>
      </c>
      <c r="CI12" s="43">
        <v>7.0000000000000062E-2</v>
      </c>
      <c r="CJ12" s="41">
        <v>9.3470999999999986E-19</v>
      </c>
      <c r="CK12" s="43">
        <v>0</v>
      </c>
      <c r="CL12" s="41">
        <v>0</v>
      </c>
      <c r="CM12" s="41">
        <f t="shared" si="6"/>
        <v>-1.2770000000000002E-18</v>
      </c>
      <c r="CN12" s="52">
        <f t="shared" si="7"/>
        <v>-9.5633939938590595E-2</v>
      </c>
      <c r="CP12" s="40" t="s">
        <v>85</v>
      </c>
      <c r="CQ12" s="41">
        <v>1.3353E-17</v>
      </c>
      <c r="CR12" s="42">
        <v>1.0869157914615671E-20</v>
      </c>
      <c r="CS12" s="43">
        <v>0.2</v>
      </c>
      <c r="CT12" s="43">
        <v>7.0000000000000062E-2</v>
      </c>
      <c r="CU12" s="41">
        <v>9.3470999999999986E-19</v>
      </c>
      <c r="CV12" s="43">
        <v>0</v>
      </c>
      <c r="CW12" s="41">
        <v>0</v>
      </c>
      <c r="CX12" s="41">
        <f t="shared" si="8"/>
        <v>0</v>
      </c>
      <c r="CY12" s="52">
        <f t="shared" si="9"/>
        <v>0</v>
      </c>
      <c r="DA12" s="59" t="s">
        <v>85</v>
      </c>
      <c r="DB12" s="60">
        <v>1.3353E-17</v>
      </c>
      <c r="DC12" s="61">
        <v>8.7588885089733664E-21</v>
      </c>
      <c r="DD12" s="62">
        <v>0.2</v>
      </c>
      <c r="DE12" s="62">
        <v>7.0000000000000062E-2</v>
      </c>
      <c r="DF12" s="60">
        <v>9.3470999999999986E-19</v>
      </c>
      <c r="DG12" s="62">
        <v>0</v>
      </c>
      <c r="DH12" s="60">
        <v>0</v>
      </c>
      <c r="DI12" s="41">
        <f t="shared" si="10"/>
        <v>0</v>
      </c>
      <c r="DJ12" s="52">
        <f t="shared" si="11"/>
        <v>0</v>
      </c>
      <c r="DL12" s="59" t="s">
        <v>85</v>
      </c>
      <c r="DM12" s="60">
        <v>1.3353E-17</v>
      </c>
      <c r="DN12" s="61">
        <v>8.5267402261196103E-21</v>
      </c>
      <c r="DO12" s="62">
        <v>0.2</v>
      </c>
      <c r="DP12" s="62">
        <v>7.0000000000000062E-2</v>
      </c>
      <c r="DQ12" s="60">
        <v>9.3470999999999986E-19</v>
      </c>
      <c r="DR12" s="62">
        <v>4.3772934920991442E-2</v>
      </c>
      <c r="DS12" s="60">
        <v>5.844999999999987E-19</v>
      </c>
      <c r="DT12" s="41">
        <f t="shared" si="12"/>
        <v>5.844999999999987E-19</v>
      </c>
      <c r="DU12" s="52">
        <f t="shared" si="13"/>
        <v>4.3772934920991442E-2</v>
      </c>
    </row>
    <row r="13" spans="1:125" x14ac:dyDescent="0.25">
      <c r="A13" s="74" t="s">
        <v>26</v>
      </c>
      <c r="B13" s="12">
        <v>54.980108999999999</v>
      </c>
      <c r="C13" s="22"/>
      <c r="D13" s="29">
        <v>0.27860000000000001</v>
      </c>
      <c r="E13" s="29">
        <v>5.0000000000000044E-2</v>
      </c>
      <c r="F13" s="12">
        <v>2.7490054499999985</v>
      </c>
      <c r="G13" s="29">
        <v>-0.10184560240746707</v>
      </c>
      <c r="H13" s="12">
        <v>-5.5994823215332019</v>
      </c>
      <c r="I13" s="12"/>
      <c r="J13" s="12"/>
      <c r="K13" s="31" t="s">
        <v>103</v>
      </c>
      <c r="L13" s="24">
        <v>626.25935200000004</v>
      </c>
      <c r="M13" s="25">
        <v>1</v>
      </c>
      <c r="N13" s="30">
        <v>0.16793250900243595</v>
      </c>
      <c r="O13" s="24">
        <v>105.16930426759973</v>
      </c>
      <c r="P13" s="24">
        <f>SUM(P4:P12)</f>
        <v>-2.6000000000000005</v>
      </c>
      <c r="R13" s="24">
        <v>761.62467300000003</v>
      </c>
      <c r="S13" s="25">
        <v>1</v>
      </c>
      <c r="U13" s="31" t="s">
        <v>103</v>
      </c>
      <c r="V13" s="24">
        <v>704.52469299999996</v>
      </c>
      <c r="W13" s="25">
        <v>1</v>
      </c>
      <c r="X13" s="30">
        <v>0.15413850318515387</v>
      </c>
      <c r="Y13" s="24">
        <v>108.59438163600009</v>
      </c>
      <c r="Z13" s="24">
        <f>SUM(Z4:Z12)</f>
        <v>10.31</v>
      </c>
      <c r="AB13" s="40" t="s">
        <v>71</v>
      </c>
      <c r="AC13" s="41">
        <v>5.5999999999999995E-18</v>
      </c>
      <c r="AD13" s="42">
        <v>5.9361209970227834E-21</v>
      </c>
      <c r="AE13" s="43">
        <v>7.0000000000000062E-2</v>
      </c>
      <c r="AF13" s="41">
        <v>3.9200000000000069E-19</v>
      </c>
      <c r="AI13" s="40" t="s">
        <v>71</v>
      </c>
      <c r="AJ13" s="41">
        <v>5.5999999999999995E-18</v>
      </c>
      <c r="AK13" s="42">
        <v>5.5001690815325816E-21</v>
      </c>
      <c r="AL13" s="43">
        <v>7.0000000000000062E-2</v>
      </c>
      <c r="AM13" s="41">
        <v>3.9200000000000069E-19</v>
      </c>
      <c r="AP13" s="40" t="s">
        <v>71</v>
      </c>
      <c r="AQ13" s="41">
        <v>5.5999999999999995E-18</v>
      </c>
      <c r="AR13" s="42">
        <v>5.4286839217042587E-21</v>
      </c>
      <c r="AS13" s="43">
        <v>7.0000000000000062E-2</v>
      </c>
      <c r="AT13" s="41">
        <v>3.9200000000000069E-19</v>
      </c>
      <c r="AU13" s="43">
        <v>0.19642857142857151</v>
      </c>
      <c r="AV13" s="41">
        <v>1.1000000000000003E-18</v>
      </c>
      <c r="AX13" s="40" t="s">
        <v>71</v>
      </c>
      <c r="AY13" s="41">
        <v>5.5999999999999995E-18</v>
      </c>
      <c r="AZ13" s="42">
        <v>5.1170304194090184E-21</v>
      </c>
      <c r="BA13" s="43">
        <v>0.19</v>
      </c>
      <c r="BB13" s="43">
        <v>7.0000000000000062E-2</v>
      </c>
      <c r="BC13" s="41">
        <v>3.9200000000000069E-19</v>
      </c>
      <c r="BD13" s="43">
        <v>0.19071428571428586</v>
      </c>
      <c r="BE13" s="41">
        <v>1.0680000000000008E-18</v>
      </c>
      <c r="BF13" s="41">
        <f t="shared" si="0"/>
        <v>-3.1999999999999522E-20</v>
      </c>
      <c r="BG13" s="52">
        <f t="shared" si="1"/>
        <v>-5.714285714285644E-3</v>
      </c>
      <c r="BI13" s="40" t="s">
        <v>71</v>
      </c>
      <c r="BJ13" s="41">
        <v>5.5999999999999995E-18</v>
      </c>
      <c r="BK13" s="42">
        <v>4.6711699352912745E-21</v>
      </c>
      <c r="BL13" s="43">
        <v>0.19</v>
      </c>
      <c r="BM13" s="43">
        <v>7.0000000000000062E-2</v>
      </c>
      <c r="BN13" s="41">
        <v>3.9200000000000069E-19</v>
      </c>
      <c r="BO13" s="43">
        <v>0.16285714285714306</v>
      </c>
      <c r="BP13" s="41">
        <v>9.12000000000001E-19</v>
      </c>
      <c r="BQ13" s="41">
        <f t="shared" si="2"/>
        <v>-1.5599999999999979E-19</v>
      </c>
      <c r="BR13" s="52">
        <f t="shared" si="3"/>
        <v>-2.7857142857142803E-2</v>
      </c>
      <c r="BT13" s="40" t="s">
        <v>71</v>
      </c>
      <c r="BU13" s="41">
        <v>5.5999999999999995E-18</v>
      </c>
      <c r="BV13" s="42">
        <v>4.6711699352912753E-21</v>
      </c>
      <c r="BW13" s="43">
        <v>0.19</v>
      </c>
      <c r="BX13" s="43">
        <v>7.0000000000000062E-2</v>
      </c>
      <c r="BY13" s="41">
        <v>3.9200000000000069E-19</v>
      </c>
      <c r="BZ13" s="43">
        <v>0.19339285714285723</v>
      </c>
      <c r="CA13" s="41">
        <v>1.0830000000000003E-18</v>
      </c>
      <c r="CB13" s="41">
        <f t="shared" si="4"/>
        <v>1.7099999999999932E-19</v>
      </c>
      <c r="CC13" s="52">
        <f t="shared" si="5"/>
        <v>3.0535714285714166E-2</v>
      </c>
      <c r="CE13" s="40" t="s">
        <v>71</v>
      </c>
      <c r="CF13" s="41">
        <v>5.5999999999999995E-18</v>
      </c>
      <c r="CG13" s="42">
        <v>4.6762352806162939E-21</v>
      </c>
      <c r="CH13" s="43">
        <v>0.19</v>
      </c>
      <c r="CI13" s="43">
        <v>7.0000000000000062E-2</v>
      </c>
      <c r="CJ13" s="41">
        <v>3.9200000000000069E-19</v>
      </c>
      <c r="CK13" s="43">
        <v>0</v>
      </c>
      <c r="CL13" s="41">
        <v>0</v>
      </c>
      <c r="CM13" s="41">
        <f t="shared" si="6"/>
        <v>-1.0830000000000003E-18</v>
      </c>
      <c r="CN13" s="52">
        <f t="shared" si="7"/>
        <v>-0.19339285714285723</v>
      </c>
      <c r="CP13" s="40" t="s">
        <v>71</v>
      </c>
      <c r="CQ13" s="41">
        <v>5.5999999999999995E-18</v>
      </c>
      <c r="CR13" s="42">
        <v>4.5583227980115143E-21</v>
      </c>
      <c r="CS13" s="43">
        <v>0.19</v>
      </c>
      <c r="CT13" s="43">
        <v>7.0000000000000062E-2</v>
      </c>
      <c r="CU13" s="41">
        <v>3.9200000000000069E-19</v>
      </c>
      <c r="CV13" s="43">
        <v>0</v>
      </c>
      <c r="CW13" s="41">
        <v>0</v>
      </c>
      <c r="CX13" s="41">
        <f t="shared" si="8"/>
        <v>0</v>
      </c>
      <c r="CY13" s="52">
        <f t="shared" si="9"/>
        <v>0</v>
      </c>
      <c r="DA13" s="59" t="s">
        <v>71</v>
      </c>
      <c r="DB13" s="60">
        <v>5.5999999999999995E-18</v>
      </c>
      <c r="DC13" s="61">
        <v>3.6733150340935256E-21</v>
      </c>
      <c r="DD13" s="62">
        <v>0.19</v>
      </c>
      <c r="DE13" s="62">
        <v>7.0000000000000062E-2</v>
      </c>
      <c r="DF13" s="60">
        <v>3.9200000000000069E-19</v>
      </c>
      <c r="DG13" s="62">
        <v>0</v>
      </c>
      <c r="DH13" s="60">
        <v>0</v>
      </c>
      <c r="DI13" s="41">
        <f t="shared" si="10"/>
        <v>0</v>
      </c>
      <c r="DJ13" s="52">
        <f t="shared" si="11"/>
        <v>0</v>
      </c>
      <c r="DL13" s="59" t="s">
        <v>71</v>
      </c>
      <c r="DM13" s="60">
        <v>5.5999999999999995E-18</v>
      </c>
      <c r="DN13" s="61">
        <v>3.5759563593402094E-21</v>
      </c>
      <c r="DO13" s="62">
        <v>0.19</v>
      </c>
      <c r="DP13" s="62">
        <v>7.0000000000000062E-2</v>
      </c>
      <c r="DQ13" s="60">
        <v>3.9200000000000069E-19</v>
      </c>
      <c r="DR13" s="62">
        <v>2.1071434020996142E-2</v>
      </c>
      <c r="DS13" s="60">
        <v>1.1800003051757838E-19</v>
      </c>
      <c r="DT13" s="41">
        <f t="shared" si="12"/>
        <v>1.1800003051757838E-19</v>
      </c>
      <c r="DU13" s="52">
        <f t="shared" si="13"/>
        <v>2.1071434020996142E-2</v>
      </c>
    </row>
    <row r="14" spans="1:125" x14ac:dyDescent="0.25">
      <c r="A14" s="74" t="s">
        <v>47</v>
      </c>
      <c r="B14" s="12">
        <v>38.330673000000004</v>
      </c>
      <c r="C14" s="22"/>
      <c r="D14" s="29">
        <v>0.52029999999999998</v>
      </c>
      <c r="E14" s="29">
        <v>0.51730010062698351</v>
      </c>
      <c r="F14" s="12">
        <v>19.828461000000004</v>
      </c>
      <c r="G14" s="29">
        <v>-1.8964332659110548E-2</v>
      </c>
      <c r="H14" s="12">
        <v>-0.72691563381958701</v>
      </c>
      <c r="I14" s="12"/>
      <c r="J14" s="12"/>
      <c r="AB14" s="31" t="s">
        <v>103</v>
      </c>
      <c r="AC14" s="24">
        <v>943.37699699999996</v>
      </c>
      <c r="AD14" s="25">
        <v>1</v>
      </c>
      <c r="AE14" s="30">
        <v>0.12661243322217675</v>
      </c>
      <c r="AF14" s="24">
        <v>119.4432570360002</v>
      </c>
      <c r="AG14" s="24">
        <f>SUM(AG4:AG13)</f>
        <v>0</v>
      </c>
      <c r="AI14" s="31" t="s">
        <v>103</v>
      </c>
      <c r="AJ14" s="24">
        <v>1018.1505181</v>
      </c>
      <c r="AK14" s="25">
        <v>1</v>
      </c>
      <c r="AL14" s="30">
        <v>0.13148810185612581</v>
      </c>
      <c r="AM14" s="24">
        <v>133.87467902879996</v>
      </c>
      <c r="AN14" s="24">
        <f>SUM(AN4:AN13)</f>
        <v>2.76</v>
      </c>
      <c r="AP14" s="31" t="s">
        <v>103</v>
      </c>
      <c r="AQ14" s="24">
        <v>1031.5575710000001</v>
      </c>
      <c r="AR14" s="25">
        <v>1</v>
      </c>
      <c r="AS14" s="30">
        <v>0.12744218841936039</v>
      </c>
      <c r="AT14" s="24">
        <v>131.46395432879967</v>
      </c>
      <c r="AU14" s="30">
        <v>3.2198677934961082E-3</v>
      </c>
      <c r="AV14" s="24">
        <v>3.3214789999999539</v>
      </c>
      <c r="AX14" s="31" t="s">
        <v>103</v>
      </c>
      <c r="AY14" s="24">
        <v>1094.3847390000001</v>
      </c>
      <c r="AZ14" s="25">
        <v>1</v>
      </c>
      <c r="BA14" s="30">
        <v>0.25538540801243753</v>
      </c>
      <c r="BB14" s="30">
        <v>0.13649339329721788</v>
      </c>
      <c r="BC14" s="24">
        <v>149.37628659880011</v>
      </c>
      <c r="BD14" s="30">
        <v>1.3107034015392944E-2</v>
      </c>
      <c r="BE14" s="24">
        <v>14.34413799999993</v>
      </c>
      <c r="BF14" s="24">
        <f t="shared" si="0"/>
        <v>11.022658999999976</v>
      </c>
      <c r="BG14" s="53">
        <f t="shared" si="1"/>
        <v>9.8871662218968353E-3</v>
      </c>
      <c r="BI14" s="31" t="s">
        <v>103</v>
      </c>
      <c r="BJ14" s="24">
        <v>1198.8431330000001</v>
      </c>
      <c r="BK14" s="25">
        <v>1</v>
      </c>
      <c r="BL14" s="30">
        <v>0.25757128388614631</v>
      </c>
      <c r="BM14" s="30">
        <v>0.14011956180492247</v>
      </c>
      <c r="BN14" s="24">
        <v>167.98137446880037</v>
      </c>
      <c r="BO14" s="30">
        <v>-1.4097343960012455E-2</v>
      </c>
      <c r="BP14" s="24">
        <v>-16.900503999999955</v>
      </c>
      <c r="BQ14" s="24">
        <f t="shared" si="2"/>
        <v>-31.244641999999885</v>
      </c>
      <c r="BR14" s="53">
        <f t="shared" si="3"/>
        <v>-2.7204377975405397E-2</v>
      </c>
      <c r="BT14" s="31" t="s">
        <v>103</v>
      </c>
      <c r="BU14" s="24">
        <v>1198.8431329999999</v>
      </c>
      <c r="BV14" s="25">
        <v>1</v>
      </c>
      <c r="BW14" s="30">
        <v>0.25757128388614625</v>
      </c>
      <c r="BX14" s="30">
        <v>0.14011956180492224</v>
      </c>
      <c r="BY14" s="24">
        <v>167.98137446880014</v>
      </c>
      <c r="BZ14" s="30">
        <v>-1.2327959007460955E-2</v>
      </c>
      <c r="CA14" s="24">
        <v>-14.779289000000063</v>
      </c>
      <c r="CB14" s="24">
        <f t="shared" si="4"/>
        <v>2.1212149999998928</v>
      </c>
      <c r="CC14" s="53">
        <f t="shared" si="5"/>
        <v>1.7693849525515001E-3</v>
      </c>
      <c r="CE14" s="31" t="s">
        <v>103</v>
      </c>
      <c r="CF14" s="24">
        <v>1197.5445340000001</v>
      </c>
      <c r="CG14" s="25">
        <v>1</v>
      </c>
      <c r="CH14" s="30">
        <v>0.27463843201375254</v>
      </c>
      <c r="CI14" s="30">
        <v>0.15408238460449608</v>
      </c>
      <c r="CJ14" s="24">
        <v>184.52051746880011</v>
      </c>
      <c r="CK14" s="30">
        <v>-3.6758928582776171E-2</v>
      </c>
      <c r="CL14" s="24">
        <v>-44.020453999999972</v>
      </c>
      <c r="CM14" s="24">
        <f t="shared" si="6"/>
        <v>-29.24116499999991</v>
      </c>
      <c r="CN14" s="53">
        <f t="shared" si="7"/>
        <v>-2.4430969575315216E-2</v>
      </c>
      <c r="CP14" s="31" t="s">
        <v>103</v>
      </c>
      <c r="CQ14" s="24">
        <v>1228.522035</v>
      </c>
      <c r="CR14" s="25">
        <v>1</v>
      </c>
      <c r="CS14" s="30">
        <v>0.27681230757525643</v>
      </c>
      <c r="CT14" s="30">
        <v>0.15800070079231432</v>
      </c>
      <c r="CU14" s="24">
        <v>194.1073424688002</v>
      </c>
      <c r="CV14" s="30">
        <v>-2.1490712618760684E-2</v>
      </c>
      <c r="CW14" s="24">
        <v>-26.401814000000059</v>
      </c>
      <c r="CX14" s="24">
        <f t="shared" si="8"/>
        <v>17.618639999999914</v>
      </c>
      <c r="CY14" s="53">
        <f t="shared" si="9"/>
        <v>1.5268215964015487E-2</v>
      </c>
      <c r="DA14" s="63" t="s">
        <v>103</v>
      </c>
      <c r="DB14" s="64">
        <v>1524.5085019999999</v>
      </c>
      <c r="DC14" s="65">
        <v>1</v>
      </c>
      <c r="DD14" s="66">
        <v>0.26923729609151098</v>
      </c>
      <c r="DE14" s="66">
        <v>0.14543342126287451</v>
      </c>
      <c r="DF14" s="64">
        <v>221.71448719019986</v>
      </c>
      <c r="DG14" s="66">
        <v>-6.1701728705741442E-2</v>
      </c>
      <c r="DH14" s="64">
        <v>-94.064810000000307</v>
      </c>
      <c r="DI14" s="24">
        <f t="shared" si="10"/>
        <v>-67.662996000000248</v>
      </c>
      <c r="DJ14" s="53">
        <f t="shared" si="11"/>
        <v>-4.0211016086980758E-2</v>
      </c>
      <c r="DL14" s="63" t="s">
        <v>103</v>
      </c>
      <c r="DM14" s="64">
        <v>1566.014637</v>
      </c>
      <c r="DN14" s="65">
        <v>1</v>
      </c>
      <c r="DO14" s="66">
        <v>0.28147900150903893</v>
      </c>
      <c r="DP14" s="66">
        <v>0.15905237259797111</v>
      </c>
      <c r="DQ14" s="64">
        <v>249.07834353800035</v>
      </c>
      <c r="DR14" s="66">
        <v>-2.7697555968424145E-2</v>
      </c>
      <c r="DS14" s="64">
        <v>-43.374778055678917</v>
      </c>
      <c r="DT14" s="24">
        <f t="shared" si="12"/>
        <v>50.69003194432139</v>
      </c>
      <c r="DU14" s="53">
        <f t="shared" si="13"/>
        <v>3.4004172737317297E-2</v>
      </c>
    </row>
    <row r="15" spans="1:125" x14ac:dyDescent="0.25">
      <c r="A15" s="74" t="s">
        <v>88</v>
      </c>
      <c r="B15" s="12">
        <v>20.002243999999997</v>
      </c>
      <c r="C15" s="22"/>
      <c r="D15" s="29">
        <v>0.2029</v>
      </c>
      <c r="E15" s="29">
        <v>5.0000000000000266E-2</v>
      </c>
      <c r="F15" s="12">
        <v>1.0001122000000038</v>
      </c>
      <c r="G15" s="29">
        <v>7.5282414607636738E-2</v>
      </c>
      <c r="H15" s="12">
        <v>1.5058172258911142</v>
      </c>
    </row>
    <row r="16" spans="1:125" x14ac:dyDescent="0.25">
      <c r="A16" s="74" t="s">
        <v>31</v>
      </c>
      <c r="B16" s="12">
        <v>1.1648999786376951E-30</v>
      </c>
      <c r="C16" s="22"/>
      <c r="D16" s="29">
        <v>0.17680000000000001</v>
      </c>
      <c r="E16" s="29">
        <v>4.0003452843051734E-2</v>
      </c>
      <c r="F16" s="12">
        <v>4.6600021362304998E-32</v>
      </c>
      <c r="G16" s="29">
        <v>4.627006170909103E-2</v>
      </c>
      <c r="H16" s="12">
        <v>5.3899993896484974E-32</v>
      </c>
    </row>
    <row r="17" spans="1:69" x14ac:dyDescent="0.25">
      <c r="A17" s="74" t="s">
        <v>52</v>
      </c>
      <c r="B17" s="12" t="e">
        <v>#N/A</v>
      </c>
      <c r="C17" s="22"/>
      <c r="D17" s="29" t="e">
        <v>#N/A</v>
      </c>
      <c r="E17" s="29" t="e">
        <v>#N/A</v>
      </c>
      <c r="F17" s="12" t="e">
        <v>#N/A</v>
      </c>
      <c r="G17" s="29" t="e">
        <v>#N/A</v>
      </c>
      <c r="H17" s="12" t="e">
        <v>#N/A</v>
      </c>
    </row>
    <row r="18" spans="1:69" x14ac:dyDescent="0.25">
      <c r="A18" s="74" t="s">
        <v>91</v>
      </c>
      <c r="B18" s="12" t="e">
        <v>#N/A</v>
      </c>
      <c r="C18" s="22"/>
      <c r="D18" s="29" t="e">
        <v>#N/A</v>
      </c>
      <c r="E18" s="29" t="e">
        <v>#N/A</v>
      </c>
      <c r="F18" s="12" t="e">
        <v>#N/A</v>
      </c>
      <c r="G18" s="29" t="e">
        <v>#N/A</v>
      </c>
      <c r="H18" s="12" t="e">
        <v>#N/A</v>
      </c>
    </row>
    <row r="19" spans="1:69" x14ac:dyDescent="0.25">
      <c r="A19" s="21" t="s">
        <v>169</v>
      </c>
      <c r="B19" s="12" t="e">
        <v>#N/A</v>
      </c>
      <c r="C19" s="22"/>
      <c r="D19" s="29" t="e">
        <v>#N/A</v>
      </c>
      <c r="E19" s="29" t="e">
        <v>#N/A</v>
      </c>
      <c r="F19" s="12" t="e">
        <v>#N/A</v>
      </c>
      <c r="G19" s="29" t="e">
        <v>#N/A</v>
      </c>
      <c r="H19" s="12" t="e">
        <v>#N/A</v>
      </c>
      <c r="BJ19" s="76">
        <v>45715</v>
      </c>
      <c r="BK19" s="76"/>
      <c r="BL19" s="76"/>
      <c r="BM19" s="76"/>
      <c r="BN19" s="76"/>
      <c r="BO19" s="76"/>
      <c r="BP19" s="76"/>
      <c r="BQ19" s="76"/>
    </row>
    <row r="20" spans="1:69" ht="16.5" customHeight="1" x14ac:dyDescent="0.25">
      <c r="A20" s="21" t="s">
        <v>174</v>
      </c>
      <c r="B20" s="12" t="e">
        <v>#N/A</v>
      </c>
      <c r="C20" s="22"/>
      <c r="D20" s="29" t="e">
        <v>#N/A</v>
      </c>
      <c r="E20" s="29" t="e">
        <v>#N/A</v>
      </c>
      <c r="F20" s="12" t="e">
        <v>#N/A</v>
      </c>
      <c r="G20" s="29" t="e">
        <v>#N/A</v>
      </c>
      <c r="H20" s="12" t="e">
        <v>#N/A</v>
      </c>
      <c r="BI20" s="28" t="s">
        <v>102</v>
      </c>
      <c r="BJ20" s="23" t="s">
        <v>104</v>
      </c>
      <c r="BK20" s="23" t="s">
        <v>105</v>
      </c>
      <c r="BL20" s="44" t="s">
        <v>136</v>
      </c>
      <c r="BM20" s="44" t="s">
        <v>109</v>
      </c>
      <c r="BN20" s="44" t="s">
        <v>110</v>
      </c>
      <c r="BO20" s="44" t="s">
        <v>132</v>
      </c>
      <c r="BP20" s="44" t="s">
        <v>133</v>
      </c>
    </row>
    <row r="21" spans="1:69" x14ac:dyDescent="0.25">
      <c r="A21" s="21" t="s">
        <v>103</v>
      </c>
      <c r="B21" s="12" t="e">
        <v>#N/A</v>
      </c>
      <c r="C21" s="22"/>
      <c r="D21" s="29" t="e">
        <v>#N/A</v>
      </c>
      <c r="E21" s="29" t="e">
        <v>#N/A</v>
      </c>
      <c r="F21" s="12" t="e">
        <v>#N/A</v>
      </c>
      <c r="G21" s="29" t="e">
        <v>#N/A</v>
      </c>
      <c r="H21" s="12" t="e">
        <v>#N/A</v>
      </c>
      <c r="BI21" s="40" t="s">
        <v>38</v>
      </c>
      <c r="BJ21" s="41">
        <v>283.12183800000003</v>
      </c>
      <c r="BK21" s="42">
        <v>0.25636242853460389</v>
      </c>
      <c r="BL21" s="43">
        <v>0.18558395637569999</v>
      </c>
      <c r="BM21" s="43">
        <v>0.12435576952421434</v>
      </c>
      <c r="BN21" s="41">
        <v>35.207834033599966</v>
      </c>
      <c r="BO21" s="43">
        <v>1.3355239661873061E-2</v>
      </c>
      <c r="BP21" s="41">
        <v>3.7811599999999999</v>
      </c>
    </row>
    <row r="22" spans="1:69" x14ac:dyDescent="0.25">
      <c r="BI22" s="40" t="s">
        <v>40</v>
      </c>
      <c r="BJ22" s="41">
        <v>255.90804500000002</v>
      </c>
      <c r="BK22" s="42">
        <v>0.23172076149683196</v>
      </c>
      <c r="BL22" s="43">
        <v>0.34074598418271684</v>
      </c>
      <c r="BM22" s="43">
        <v>0.13014422582924268</v>
      </c>
      <c r="BN22" s="41">
        <v>33.304954399999986</v>
      </c>
      <c r="BO22" s="43">
        <v>-9.4427078289000349E-2</v>
      </c>
      <c r="BP22" s="41">
        <v>-24.164649000000026</v>
      </c>
    </row>
    <row r="23" spans="1:69" x14ac:dyDescent="0.25">
      <c r="BI23" s="40" t="s">
        <v>113</v>
      </c>
      <c r="BJ23" s="41">
        <v>218.852</v>
      </c>
      <c r="BK23" s="42">
        <v>0.19816708808472461</v>
      </c>
      <c r="BL23" s="43">
        <v>0.14808573830716651</v>
      </c>
      <c r="BM23" s="43">
        <v>6.1035677078573602E-2</v>
      </c>
      <c r="BN23" s="41">
        <v>13.357779999999991</v>
      </c>
      <c r="BO23" s="43">
        <v>-1.0491108146144391E-2</v>
      </c>
      <c r="BP23" s="41">
        <v>-2.2959999999999923</v>
      </c>
    </row>
    <row r="24" spans="1:69" x14ac:dyDescent="0.25">
      <c r="BI24" s="40" t="s">
        <v>36</v>
      </c>
      <c r="BJ24" s="41">
        <v>155.61477000000002</v>
      </c>
      <c r="BK24" s="42">
        <v>0.14090675814648329</v>
      </c>
      <c r="BL24" s="43">
        <v>0.28791727261236194</v>
      </c>
      <c r="BM24" s="43">
        <v>0.16617375651424315</v>
      </c>
      <c r="BN24" s="41">
        <v>25.859090899999956</v>
      </c>
      <c r="BO24" s="43">
        <v>-5.8240834080210038E-2</v>
      </c>
      <c r="BP24" s="41">
        <v>-9.0631340000000478</v>
      </c>
    </row>
    <row r="25" spans="1:69" x14ac:dyDescent="0.25">
      <c r="BI25" s="40" t="s">
        <v>37</v>
      </c>
      <c r="BJ25" s="41">
        <v>114.87946399999998</v>
      </c>
      <c r="BK25" s="42">
        <v>0.1040215710234037</v>
      </c>
      <c r="BL25" s="43">
        <v>0.33977481277941901</v>
      </c>
      <c r="BM25" s="43">
        <v>0.29350438125303246</v>
      </c>
      <c r="BN25" s="41">
        <v>33.717626000000024</v>
      </c>
      <c r="BO25" s="43">
        <v>0.11658635524274395</v>
      </c>
      <c r="BP25" s="41">
        <v>13.393378000000013</v>
      </c>
    </row>
    <row r="26" spans="1:69" x14ac:dyDescent="0.25">
      <c r="BI26" s="40" t="s">
        <v>39</v>
      </c>
      <c r="BJ26" s="41">
        <v>66.005799999999994</v>
      </c>
      <c r="BK26" s="42">
        <v>5.9767227088181572E-2</v>
      </c>
      <c r="BL26" s="43">
        <v>0.35603887350051061</v>
      </c>
      <c r="BM26" s="43">
        <v>0.10497250340424635</v>
      </c>
      <c r="BN26" s="41">
        <v>6.9287940652000088</v>
      </c>
      <c r="BO26" s="43">
        <v>-2.091140475533947E-2</v>
      </c>
      <c r="BP26" s="41">
        <v>-1.3802739999999858</v>
      </c>
    </row>
    <row r="27" spans="1:69" x14ac:dyDescent="0.25">
      <c r="BI27" s="40" t="s">
        <v>94</v>
      </c>
      <c r="BJ27" s="41">
        <v>9.99925</v>
      </c>
      <c r="BK27" s="42">
        <v>9.054165625770761E-3</v>
      </c>
      <c r="BL27" s="43">
        <v>0.2</v>
      </c>
      <c r="BM27" s="43">
        <v>0.19999999999999996</v>
      </c>
      <c r="BN27" s="41">
        <v>1.9998499999999986</v>
      </c>
      <c r="BO27" s="43">
        <v>-1.696377228292139E-2</v>
      </c>
      <c r="BP27" s="41">
        <v>-0.16962500000000169</v>
      </c>
    </row>
    <row r="28" spans="1:69" x14ac:dyDescent="0.25">
      <c r="BI28" s="40" t="s">
        <v>74</v>
      </c>
      <c r="BJ28" s="41">
        <v>2.9136552000000001E-16</v>
      </c>
      <c r="BK28" s="42">
        <v>2.6382695459347681E-19</v>
      </c>
      <c r="BL28" s="43">
        <v>0.48159901967810059</v>
      </c>
      <c r="BM28" s="43">
        <v>9.9274912144717842E-2</v>
      </c>
      <c r="BN28" s="41">
        <v>2.8925286400000047E-17</v>
      </c>
      <c r="BO28" s="43">
        <v>-0.94159329491011845</v>
      </c>
      <c r="BP28" s="41">
        <v>-2.7434782000000001E-16</v>
      </c>
    </row>
    <row r="29" spans="1:69" x14ac:dyDescent="0.25">
      <c r="BI29" s="40" t="s">
        <v>85</v>
      </c>
      <c r="BJ29" s="41">
        <v>1.3353E-17</v>
      </c>
      <c r="BK29" s="42">
        <v>1.2090934180155208E-20</v>
      </c>
      <c r="BL29" s="43">
        <v>0.2</v>
      </c>
      <c r="BM29" s="43">
        <v>7.0000000000000062E-2</v>
      </c>
      <c r="BN29" s="41">
        <v>9.3470999999999986E-19</v>
      </c>
      <c r="BO29" s="43">
        <v>0.1040964577248558</v>
      </c>
      <c r="BP29" s="41">
        <v>1.3899999999999995E-18</v>
      </c>
    </row>
    <row r="30" spans="1:69" x14ac:dyDescent="0.25">
      <c r="BI30" s="40" t="s">
        <v>71</v>
      </c>
      <c r="BJ30" s="41">
        <v>5.5999999999999995E-18</v>
      </c>
      <c r="BK30" s="42">
        <v>5.0707130539106685E-21</v>
      </c>
      <c r="BL30" s="43">
        <v>0.19</v>
      </c>
      <c r="BM30" s="43">
        <v>7.0000000000000062E-2</v>
      </c>
      <c r="BN30" s="41">
        <v>3.9200000000000069E-19</v>
      </c>
      <c r="BO30" s="43">
        <v>0.18250000000000008</v>
      </c>
      <c r="BP30" s="41">
        <v>1.0220000000000004E-18</v>
      </c>
    </row>
    <row r="31" spans="1:69" x14ac:dyDescent="0.25">
      <c r="BI31" s="31" t="s">
        <v>103</v>
      </c>
      <c r="BJ31" s="24">
        <v>1104.3811670000002</v>
      </c>
      <c r="BK31" s="25">
        <v>1</v>
      </c>
      <c r="BL31" s="30">
        <v>0.25488408088011155</v>
      </c>
      <c r="BM31" s="30">
        <v>0.13616306932079381</v>
      </c>
      <c r="BN31" s="24">
        <v>150.37592939880028</v>
      </c>
      <c r="BO31" s="30">
        <v>-1.8018365936151651E-2</v>
      </c>
      <c r="BP31" s="24">
        <v>-19.899144000000206</v>
      </c>
    </row>
  </sheetData>
  <mergeCells count="27">
    <mergeCell ref="DM1:DT1"/>
    <mergeCell ref="DM2:DT2"/>
    <mergeCell ref="CQ1:CX1"/>
    <mergeCell ref="CQ2:CX2"/>
    <mergeCell ref="CF1:CM1"/>
    <mergeCell ref="CF2:CM2"/>
    <mergeCell ref="DB1:DI1"/>
    <mergeCell ref="DB2:DI2"/>
    <mergeCell ref="BJ19:BQ19"/>
    <mergeCell ref="BJ1:BQ1"/>
    <mergeCell ref="BJ2:BQ2"/>
    <mergeCell ref="BU1:CB1"/>
    <mergeCell ref="BU2:CB2"/>
    <mergeCell ref="L1:P1"/>
    <mergeCell ref="L2:P2"/>
    <mergeCell ref="R2:S2"/>
    <mergeCell ref="R1:S1"/>
    <mergeCell ref="V2:Z2"/>
    <mergeCell ref="V1:Z1"/>
    <mergeCell ref="AC1:AG1"/>
    <mergeCell ref="AC2:AG2"/>
    <mergeCell ref="AY2:BF2"/>
    <mergeCell ref="AY1:BF1"/>
    <mergeCell ref="AQ2:AV2"/>
    <mergeCell ref="AQ1:AV1"/>
    <mergeCell ref="AJ1:AN1"/>
    <mergeCell ref="AJ2:AN2"/>
  </mergeCells>
  <conditionalFormatting sqref="K4:K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AED5-399A-4A09-80B4-5D3B5201A6C2}">
  <dimension ref="A1"/>
  <sheetViews>
    <sheetView workbookViewId="0">
      <selection activeCell="B3" sqref="B3:H16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5064-D029-4982-9C03-6BDB75C18181}">
  <dimension ref="B2:AO44"/>
  <sheetViews>
    <sheetView topLeftCell="AC1" zoomScaleNormal="100" workbookViewId="0">
      <selection activeCell="AI30" sqref="AI30"/>
    </sheetView>
  </sheetViews>
  <sheetFormatPr defaultRowHeight="15" x14ac:dyDescent="0.25"/>
  <cols>
    <col min="2" max="2" width="13.5703125" bestFit="1" customWidth="1"/>
    <col min="3" max="3" width="8.85546875" bestFit="1" customWidth="1"/>
    <col min="4" max="4" width="9.7109375" bestFit="1" customWidth="1"/>
    <col min="5" max="5" width="9.140625" bestFit="1" customWidth="1"/>
    <col min="7" max="7" width="9.140625" bestFit="1" customWidth="1"/>
    <col min="8" max="8" width="8.85546875" bestFit="1" customWidth="1"/>
    <col min="9" max="9" width="9.7109375" bestFit="1" customWidth="1"/>
    <col min="10" max="10" width="7.85546875" bestFit="1" customWidth="1"/>
    <col min="11" max="11" width="7.42578125" bestFit="1" customWidth="1"/>
    <col min="27" max="27" width="10.140625" bestFit="1" customWidth="1"/>
    <col min="29" max="29" width="9.140625" customWidth="1"/>
    <col min="33" max="33" width="10.140625" bestFit="1" customWidth="1"/>
    <col min="36" max="36" width="10.140625" bestFit="1" customWidth="1"/>
    <col min="41" max="41" width="10.140625" bestFit="1" customWidth="1"/>
  </cols>
  <sheetData>
    <row r="2" spans="2:41" x14ac:dyDescent="0.25">
      <c r="B2" t="s">
        <v>117</v>
      </c>
      <c r="C2" t="s">
        <v>118</v>
      </c>
      <c r="D2" t="s">
        <v>115</v>
      </c>
      <c r="E2" s="29">
        <v>8.8700000000000001E-2</v>
      </c>
      <c r="G2" t="s">
        <v>117</v>
      </c>
      <c r="H2" t="s">
        <v>118</v>
      </c>
      <c r="I2" t="s">
        <v>115</v>
      </c>
      <c r="J2" s="29">
        <v>0.24129999999999999</v>
      </c>
      <c r="M2" t="s">
        <v>117</v>
      </c>
      <c r="N2" t="s">
        <v>118</v>
      </c>
      <c r="O2" t="s">
        <v>115</v>
      </c>
      <c r="P2" s="29">
        <v>0.44950000000000001</v>
      </c>
      <c r="R2" t="s">
        <v>117</v>
      </c>
      <c r="S2" t="s">
        <v>118</v>
      </c>
      <c r="T2" t="s">
        <v>115</v>
      </c>
      <c r="U2" s="29">
        <v>0.54500000000000004</v>
      </c>
      <c r="X2" t="s">
        <v>117</v>
      </c>
      <c r="Y2" t="s">
        <v>118</v>
      </c>
      <c r="Z2" t="s">
        <v>115</v>
      </c>
      <c r="AA2" s="29">
        <v>8.6900000000000005E-2</v>
      </c>
      <c r="AD2" t="s">
        <v>117</v>
      </c>
      <c r="AE2" t="s">
        <v>118</v>
      </c>
      <c r="AF2" t="s">
        <v>115</v>
      </c>
      <c r="AG2" s="29">
        <v>0.1434</v>
      </c>
      <c r="AL2" t="s">
        <v>117</v>
      </c>
      <c r="AM2" t="s">
        <v>118</v>
      </c>
      <c r="AN2" t="s">
        <v>115</v>
      </c>
      <c r="AO2" s="29">
        <v>0.23449999999999999</v>
      </c>
    </row>
    <row r="3" spans="2:41" x14ac:dyDescent="0.25">
      <c r="B3" t="s">
        <v>117</v>
      </c>
      <c r="C3" t="s">
        <v>118</v>
      </c>
      <c r="D3" t="s">
        <v>119</v>
      </c>
      <c r="E3" s="29">
        <v>0.1077</v>
      </c>
      <c r="G3" t="s">
        <v>117</v>
      </c>
      <c r="H3" t="s">
        <v>118</v>
      </c>
      <c r="I3" t="s">
        <v>119</v>
      </c>
      <c r="J3" s="29">
        <v>0.30709999999999998</v>
      </c>
      <c r="M3" t="s">
        <v>117</v>
      </c>
      <c r="N3" t="s">
        <v>118</v>
      </c>
      <c r="O3" t="s">
        <v>119</v>
      </c>
      <c r="P3" s="29">
        <v>0.46850000000000003</v>
      </c>
      <c r="R3" t="s">
        <v>117</v>
      </c>
      <c r="S3" t="s">
        <v>118</v>
      </c>
      <c r="T3" t="s">
        <v>119</v>
      </c>
      <c r="U3" s="29">
        <v>0.3967</v>
      </c>
      <c r="X3" t="s">
        <v>117</v>
      </c>
      <c r="Y3" t="s">
        <v>118</v>
      </c>
      <c r="Z3" t="s">
        <v>119</v>
      </c>
      <c r="AA3" s="29">
        <v>0.1148</v>
      </c>
      <c r="AD3" t="s">
        <v>117</v>
      </c>
      <c r="AE3" t="s">
        <v>118</v>
      </c>
      <c r="AF3" t="s">
        <v>119</v>
      </c>
      <c r="AG3" s="29">
        <v>0.15690000000000001</v>
      </c>
      <c r="AL3" t="s">
        <v>117</v>
      </c>
      <c r="AM3" t="s">
        <v>118</v>
      </c>
      <c r="AN3" t="s">
        <v>119</v>
      </c>
      <c r="AO3" s="29">
        <v>0.21890000000000001</v>
      </c>
    </row>
    <row r="4" spans="2:41" x14ac:dyDescent="0.25">
      <c r="X4" t="s">
        <v>141</v>
      </c>
      <c r="AA4" s="22">
        <v>1</v>
      </c>
      <c r="AD4" t="s">
        <v>141</v>
      </c>
      <c r="AG4" s="22">
        <v>0.65</v>
      </c>
      <c r="AL4" t="s">
        <v>141</v>
      </c>
      <c r="AO4" s="22">
        <v>1</v>
      </c>
    </row>
    <row r="5" spans="2:41" x14ac:dyDescent="0.25">
      <c r="B5" s="39" t="s">
        <v>80</v>
      </c>
      <c r="C5" s="39" t="s">
        <v>2</v>
      </c>
      <c r="D5" s="39" t="s">
        <v>116</v>
      </c>
      <c r="E5" s="39" t="s">
        <v>120</v>
      </c>
      <c r="G5" s="39" t="s">
        <v>80</v>
      </c>
      <c r="H5" s="39" t="s">
        <v>2</v>
      </c>
      <c r="I5" s="39" t="s">
        <v>116</v>
      </c>
      <c r="J5" s="39" t="s">
        <v>120</v>
      </c>
      <c r="M5" s="39" t="s">
        <v>80</v>
      </c>
      <c r="N5" s="39" t="s">
        <v>2</v>
      </c>
      <c r="O5" s="39" t="s">
        <v>116</v>
      </c>
      <c r="P5" s="39" t="s">
        <v>120</v>
      </c>
      <c r="R5" s="39" t="s">
        <v>80</v>
      </c>
      <c r="S5" s="39" t="s">
        <v>2</v>
      </c>
      <c r="T5" s="39" t="s">
        <v>116</v>
      </c>
      <c r="U5" s="39" t="s">
        <v>120</v>
      </c>
      <c r="X5" t="s">
        <v>128</v>
      </c>
      <c r="AC5" t="s">
        <v>140</v>
      </c>
      <c r="AD5" t="s">
        <v>128</v>
      </c>
      <c r="AL5" t="s">
        <v>36</v>
      </c>
    </row>
    <row r="6" spans="2:41" x14ac:dyDescent="0.25">
      <c r="B6" s="33" t="s">
        <v>92</v>
      </c>
      <c r="C6" s="34">
        <v>0.25440000000000002</v>
      </c>
      <c r="D6" s="34">
        <v>0</v>
      </c>
      <c r="E6" s="34">
        <f t="shared" ref="E6:E16" si="0">D6-C6</f>
        <v>-0.25440000000000002</v>
      </c>
      <c r="G6" s="33" t="s">
        <v>92</v>
      </c>
      <c r="H6" s="34">
        <v>0.25440000000000002</v>
      </c>
      <c r="I6" s="34">
        <v>0.2651</v>
      </c>
      <c r="J6" s="34">
        <f>I6-H6</f>
        <v>1.0699999999999987E-2</v>
      </c>
      <c r="M6" s="47" t="s">
        <v>84</v>
      </c>
      <c r="N6" s="48">
        <v>4.1399999999999999E-2</v>
      </c>
      <c r="O6" s="48">
        <v>0.59519999999999995</v>
      </c>
      <c r="P6" s="48">
        <f>O6-N6</f>
        <v>0.55379999999999996</v>
      </c>
      <c r="R6" s="33" t="s">
        <v>84</v>
      </c>
      <c r="S6" s="34">
        <v>4.1399999999999999E-2</v>
      </c>
      <c r="T6" s="34">
        <v>0</v>
      </c>
      <c r="U6" s="34">
        <f>T6-S6</f>
        <v>-4.1399999999999999E-2</v>
      </c>
      <c r="X6" s="39" t="s">
        <v>80</v>
      </c>
      <c r="Y6" s="39" t="s">
        <v>2</v>
      </c>
      <c r="Z6" s="39" t="s">
        <v>116</v>
      </c>
      <c r="AA6" s="39" t="s">
        <v>120</v>
      </c>
      <c r="AD6" s="39" t="s">
        <v>80</v>
      </c>
      <c r="AE6" s="39" t="s">
        <v>2</v>
      </c>
      <c r="AF6" s="39" t="s">
        <v>127</v>
      </c>
      <c r="AG6" s="39" t="s">
        <v>120</v>
      </c>
      <c r="AI6" s="46" t="s">
        <v>142</v>
      </c>
      <c r="AJ6" s="39" t="s">
        <v>120</v>
      </c>
      <c r="AL6" s="39" t="s">
        <v>80</v>
      </c>
      <c r="AM6" s="39" t="s">
        <v>2</v>
      </c>
      <c r="AN6" s="39" t="s">
        <v>127</v>
      </c>
      <c r="AO6" s="39" t="s">
        <v>120</v>
      </c>
    </row>
    <row r="7" spans="2:41" x14ac:dyDescent="0.25">
      <c r="B7" s="33" t="s">
        <v>50</v>
      </c>
      <c r="C7" s="34">
        <v>0</v>
      </c>
      <c r="D7" s="34">
        <v>0</v>
      </c>
      <c r="E7" s="34">
        <f t="shared" si="0"/>
        <v>0</v>
      </c>
      <c r="G7" s="33" t="s">
        <v>50</v>
      </c>
      <c r="H7" s="34">
        <v>0</v>
      </c>
      <c r="I7" s="34">
        <v>0.1207</v>
      </c>
      <c r="J7" s="34">
        <f t="shared" ref="J7:J16" si="1">I7-H7</f>
        <v>0.1207</v>
      </c>
      <c r="M7" s="33" t="s">
        <v>92</v>
      </c>
      <c r="N7" s="34">
        <v>5.6899999999999999E-2</v>
      </c>
      <c r="O7" s="34">
        <v>0</v>
      </c>
      <c r="P7" s="34">
        <f t="shared" ref="P7:P42" si="2">O7-N7</f>
        <v>-5.6899999999999999E-2</v>
      </c>
      <c r="R7" s="33" t="s">
        <v>92</v>
      </c>
      <c r="S7" s="34">
        <v>5.6899999999999999E-2</v>
      </c>
      <c r="T7" s="34">
        <v>0</v>
      </c>
      <c r="U7" s="34">
        <f t="shared" ref="U7:U42" si="3">T7-S7</f>
        <v>-5.6899999999999999E-2</v>
      </c>
      <c r="X7" s="47" t="s">
        <v>96</v>
      </c>
      <c r="Y7" s="48">
        <v>0.1174</v>
      </c>
      <c r="Z7" s="48">
        <v>5.8500000000000003E-2</v>
      </c>
      <c r="AA7" s="48">
        <f t="shared" ref="AA7:AA16" si="4">Z7-Y7</f>
        <v>-5.8900000000000001E-2</v>
      </c>
      <c r="AC7">
        <v>0</v>
      </c>
      <c r="AD7" s="33" t="s">
        <v>96</v>
      </c>
      <c r="AE7" s="34">
        <v>0.1174</v>
      </c>
      <c r="AF7" s="34">
        <v>0.20399999999999999</v>
      </c>
      <c r="AG7" s="34">
        <f t="shared" ref="AG7:AG16" si="5">AF7-AE7</f>
        <v>8.6599999999999983E-2</v>
      </c>
      <c r="AI7">
        <f>(Z7+AF7)/2</f>
        <v>0.13125000000000001</v>
      </c>
      <c r="AJ7" s="34">
        <f>AI7-AE7</f>
        <v>1.3850000000000001E-2</v>
      </c>
      <c r="AL7" s="33" t="s">
        <v>22</v>
      </c>
      <c r="AM7" s="34">
        <v>0.50090000000000001</v>
      </c>
      <c r="AN7" s="34">
        <v>0.156</v>
      </c>
      <c r="AO7" s="34">
        <f t="shared" ref="AO7:AO15" si="6">AN7-AM7</f>
        <v>-0.34489999999999998</v>
      </c>
    </row>
    <row r="8" spans="2:41" x14ac:dyDescent="0.25">
      <c r="B8" s="35" t="s">
        <v>27</v>
      </c>
      <c r="C8" s="36">
        <v>0.21579999999999999</v>
      </c>
      <c r="D8" s="36">
        <v>5.21E-2</v>
      </c>
      <c r="E8" s="36">
        <f t="shared" si="0"/>
        <v>-0.16369999999999998</v>
      </c>
      <c r="G8" s="35" t="s">
        <v>27</v>
      </c>
      <c r="H8" s="36">
        <v>0.21579999999999999</v>
      </c>
      <c r="I8" s="36">
        <v>5.4899999999999997E-2</v>
      </c>
      <c r="J8" s="36">
        <f t="shared" si="1"/>
        <v>-0.16089999999999999</v>
      </c>
      <c r="M8" s="35" t="s">
        <v>5</v>
      </c>
      <c r="N8" s="36">
        <v>0.1242</v>
      </c>
      <c r="O8" s="36">
        <v>0</v>
      </c>
      <c r="P8" s="36">
        <f t="shared" si="2"/>
        <v>-0.1242</v>
      </c>
      <c r="R8" s="33" t="s">
        <v>5</v>
      </c>
      <c r="S8" s="34">
        <v>0.1242</v>
      </c>
      <c r="T8" s="34">
        <v>0</v>
      </c>
      <c r="U8" s="34">
        <f t="shared" si="3"/>
        <v>-0.1242</v>
      </c>
      <c r="X8" s="33" t="s">
        <v>5</v>
      </c>
      <c r="Y8" s="34">
        <v>0.25779999999999997</v>
      </c>
      <c r="Z8" s="34">
        <v>0.113</v>
      </c>
      <c r="AA8" s="34">
        <f t="shared" si="4"/>
        <v>-0.14479999999999998</v>
      </c>
      <c r="AC8">
        <v>1</v>
      </c>
      <c r="AD8" s="33" t="s">
        <v>5</v>
      </c>
      <c r="AE8" s="34">
        <v>0.25779999999999997</v>
      </c>
      <c r="AF8" s="34">
        <v>0.2581</v>
      </c>
      <c r="AG8" s="34">
        <f t="shared" si="5"/>
        <v>3.0000000000002247E-4</v>
      </c>
      <c r="AI8">
        <f t="shared" ref="AI8:AI16" si="7">(Z8+AF8)/2</f>
        <v>0.18554999999999999</v>
      </c>
      <c r="AJ8" s="34">
        <f t="shared" ref="AJ8:AJ16" si="8">AI8-AE8</f>
        <v>-7.2249999999999981E-2</v>
      </c>
      <c r="AL8" s="33" t="s">
        <v>12</v>
      </c>
      <c r="AM8" s="34">
        <v>0.43469999999999998</v>
      </c>
      <c r="AN8" s="34">
        <v>0.30940000000000001</v>
      </c>
      <c r="AO8" s="34">
        <f t="shared" si="6"/>
        <v>-0.12529999999999997</v>
      </c>
    </row>
    <row r="9" spans="2:41" x14ac:dyDescent="0.25">
      <c r="B9" s="37" t="s">
        <v>101</v>
      </c>
      <c r="C9" s="38">
        <v>0.1852</v>
      </c>
      <c r="D9" s="38">
        <v>0.1951</v>
      </c>
      <c r="E9" s="38">
        <f t="shared" si="0"/>
        <v>9.8999999999999921E-3</v>
      </c>
      <c r="G9" s="37" t="s">
        <v>101</v>
      </c>
      <c r="H9" s="38">
        <v>0.1852</v>
      </c>
      <c r="I9" s="38">
        <v>0.27689999999999998</v>
      </c>
      <c r="J9" s="38">
        <f t="shared" si="1"/>
        <v>9.1699999999999976E-2</v>
      </c>
      <c r="M9" s="33" t="s">
        <v>101</v>
      </c>
      <c r="N9" s="34">
        <v>5.5199999999999999E-2</v>
      </c>
      <c r="O9" s="34">
        <v>0</v>
      </c>
      <c r="P9" s="34">
        <f t="shared" si="2"/>
        <v>-5.5199999999999999E-2</v>
      </c>
      <c r="R9" s="33" t="s">
        <v>101</v>
      </c>
      <c r="S9" s="34">
        <v>5.5199999999999999E-2</v>
      </c>
      <c r="T9" s="34">
        <v>0</v>
      </c>
      <c r="U9" s="34">
        <f t="shared" si="3"/>
        <v>-5.5199999999999999E-2</v>
      </c>
      <c r="X9" s="50" t="s">
        <v>20</v>
      </c>
      <c r="Y9" s="51">
        <v>0.2039</v>
      </c>
      <c r="Z9" s="51">
        <v>0.16420000000000001</v>
      </c>
      <c r="AA9" s="51">
        <f t="shared" si="4"/>
        <v>-3.9699999999999985E-2</v>
      </c>
      <c r="AC9">
        <v>2</v>
      </c>
      <c r="AD9" s="33" t="s">
        <v>20</v>
      </c>
      <c r="AE9" s="34">
        <v>0.2039</v>
      </c>
      <c r="AF9" s="34">
        <v>0</v>
      </c>
      <c r="AG9" s="34">
        <f t="shared" si="5"/>
        <v>-0.2039</v>
      </c>
      <c r="AI9">
        <f t="shared" si="7"/>
        <v>8.2100000000000006E-2</v>
      </c>
      <c r="AJ9" s="34">
        <f t="shared" si="8"/>
        <v>-0.12179999999999999</v>
      </c>
      <c r="AL9" s="33" t="s">
        <v>17</v>
      </c>
      <c r="AM9" s="34">
        <v>6.4199999999999993E-2</v>
      </c>
      <c r="AN9" s="34">
        <v>0.14630000000000001</v>
      </c>
      <c r="AO9" s="34">
        <f t="shared" si="6"/>
        <v>8.210000000000002E-2</v>
      </c>
    </row>
    <row r="10" spans="2:41" x14ac:dyDescent="0.25">
      <c r="B10" s="35" t="s">
        <v>46</v>
      </c>
      <c r="C10" s="36">
        <v>0.2772</v>
      </c>
      <c r="D10" s="36">
        <v>0</v>
      </c>
      <c r="E10" s="36">
        <f t="shared" si="0"/>
        <v>-0.2772</v>
      </c>
      <c r="G10" s="35" t="s">
        <v>46</v>
      </c>
      <c r="H10" s="36">
        <v>0.2772</v>
      </c>
      <c r="I10" s="36">
        <v>0</v>
      </c>
      <c r="J10" s="36">
        <f t="shared" si="1"/>
        <v>-0.2772</v>
      </c>
      <c r="M10" s="33" t="s">
        <v>27</v>
      </c>
      <c r="N10" s="34">
        <v>4.8300000000000003E-2</v>
      </c>
      <c r="O10" s="34">
        <v>0</v>
      </c>
      <c r="P10" s="34">
        <f t="shared" si="2"/>
        <v>-4.8300000000000003E-2</v>
      </c>
      <c r="R10" s="33" t="s">
        <v>27</v>
      </c>
      <c r="S10" s="34">
        <v>4.8300000000000003E-2</v>
      </c>
      <c r="T10" s="34">
        <v>0</v>
      </c>
      <c r="U10" s="34">
        <f t="shared" si="3"/>
        <v>-4.8300000000000003E-2</v>
      </c>
      <c r="X10" s="33" t="s">
        <v>16</v>
      </c>
      <c r="Y10" s="34">
        <v>0.2319</v>
      </c>
      <c r="Z10" s="34">
        <v>0.2298</v>
      </c>
      <c r="AA10" s="34">
        <f t="shared" si="4"/>
        <v>-2.0999999999999908E-3</v>
      </c>
      <c r="AC10">
        <v>3</v>
      </c>
      <c r="AD10" s="33" t="s">
        <v>16</v>
      </c>
      <c r="AE10" s="34">
        <v>0.2319</v>
      </c>
      <c r="AF10" s="34">
        <v>0</v>
      </c>
      <c r="AG10" s="34">
        <f t="shared" si="5"/>
        <v>-0.2319</v>
      </c>
      <c r="AI10">
        <f t="shared" si="7"/>
        <v>0.1149</v>
      </c>
      <c r="AJ10" s="34">
        <f t="shared" si="8"/>
        <v>-0.11699999999999999</v>
      </c>
      <c r="AL10" s="33" t="s">
        <v>13</v>
      </c>
      <c r="AM10" s="34">
        <v>1E-4</v>
      </c>
      <c r="AN10" s="34">
        <v>0.35099999999999998</v>
      </c>
      <c r="AO10" s="34">
        <f t="shared" si="6"/>
        <v>0.35089999999999999</v>
      </c>
    </row>
    <row r="11" spans="2:41" x14ac:dyDescent="0.25">
      <c r="B11" s="33" t="s">
        <v>32</v>
      </c>
      <c r="C11" s="34">
        <v>0</v>
      </c>
      <c r="D11" s="34">
        <v>0.33910000000000001</v>
      </c>
      <c r="E11" s="34">
        <f t="shared" si="0"/>
        <v>0.33910000000000001</v>
      </c>
      <c r="G11" s="33" t="s">
        <v>32</v>
      </c>
      <c r="H11" s="34">
        <v>0</v>
      </c>
      <c r="I11" s="34">
        <v>0</v>
      </c>
      <c r="J11" s="34">
        <f t="shared" si="1"/>
        <v>0</v>
      </c>
      <c r="M11" s="33" t="s">
        <v>16</v>
      </c>
      <c r="N11" s="34">
        <v>9.6600000000000005E-2</v>
      </c>
      <c r="O11" s="34">
        <v>0</v>
      </c>
      <c r="P11" s="34">
        <f t="shared" si="2"/>
        <v>-9.6600000000000005E-2</v>
      </c>
      <c r="R11" s="33" t="s">
        <v>16</v>
      </c>
      <c r="S11" s="34">
        <v>9.6600000000000005E-2</v>
      </c>
      <c r="T11" s="34">
        <v>0</v>
      </c>
      <c r="U11" s="34">
        <f t="shared" si="3"/>
        <v>-9.6600000000000005E-2</v>
      </c>
      <c r="X11" s="33" t="s">
        <v>43</v>
      </c>
      <c r="Y11" s="34">
        <v>0.13170000000000001</v>
      </c>
      <c r="Z11" s="34">
        <v>0.15509999999999999</v>
      </c>
      <c r="AA11" s="34">
        <f t="shared" si="4"/>
        <v>2.3399999999999976E-2</v>
      </c>
      <c r="AC11">
        <v>4</v>
      </c>
      <c r="AD11" s="33" t="s">
        <v>43</v>
      </c>
      <c r="AE11" s="34">
        <v>0.13170000000000001</v>
      </c>
      <c r="AF11" s="34">
        <v>3.8199999999999998E-2</v>
      </c>
      <c r="AG11" s="34">
        <f t="shared" si="5"/>
        <v>-9.3500000000000014E-2</v>
      </c>
      <c r="AI11">
        <f t="shared" si="7"/>
        <v>9.6649999999999986E-2</v>
      </c>
      <c r="AJ11" s="34">
        <f t="shared" si="8"/>
        <v>-3.5050000000000026E-2</v>
      </c>
      <c r="AL11" s="33" t="s">
        <v>9</v>
      </c>
      <c r="AM11" s="34">
        <v>0</v>
      </c>
      <c r="AN11" s="34">
        <v>0</v>
      </c>
      <c r="AO11" s="34">
        <f t="shared" si="6"/>
        <v>0</v>
      </c>
    </row>
    <row r="12" spans="2:41" x14ac:dyDescent="0.25">
      <c r="B12" s="33" t="s">
        <v>48</v>
      </c>
      <c r="C12" s="34">
        <v>0</v>
      </c>
      <c r="D12" s="34">
        <v>0</v>
      </c>
      <c r="E12" s="34">
        <f t="shared" si="0"/>
        <v>0</v>
      </c>
      <c r="G12" s="33" t="s">
        <v>48</v>
      </c>
      <c r="H12" s="34">
        <v>0</v>
      </c>
      <c r="I12" s="34">
        <v>0</v>
      </c>
      <c r="J12" s="34">
        <f t="shared" si="1"/>
        <v>0</v>
      </c>
      <c r="M12" s="33" t="s">
        <v>22</v>
      </c>
      <c r="N12" s="34">
        <v>0.1076</v>
      </c>
      <c r="O12" s="34">
        <v>0</v>
      </c>
      <c r="P12" s="34">
        <f t="shared" si="2"/>
        <v>-0.1076</v>
      </c>
      <c r="R12" s="33" t="s">
        <v>22</v>
      </c>
      <c r="S12" s="34">
        <v>0.1076</v>
      </c>
      <c r="T12" s="34">
        <v>0</v>
      </c>
      <c r="U12" s="34">
        <f t="shared" si="3"/>
        <v>-0.1076</v>
      </c>
      <c r="X12" s="47" t="s">
        <v>59</v>
      </c>
      <c r="Y12" s="48">
        <v>1E-4</v>
      </c>
      <c r="Z12" s="48">
        <v>8.1000000000000003E-2</v>
      </c>
      <c r="AA12" s="48">
        <f t="shared" si="4"/>
        <v>8.09E-2</v>
      </c>
      <c r="AC12">
        <v>5</v>
      </c>
      <c r="AD12" s="33" t="s">
        <v>59</v>
      </c>
      <c r="AE12" s="34">
        <v>1E-4</v>
      </c>
      <c r="AF12" s="34">
        <v>0</v>
      </c>
      <c r="AG12" s="34">
        <f t="shared" si="5"/>
        <v>-1E-4</v>
      </c>
      <c r="AI12">
        <f t="shared" si="7"/>
        <v>4.0500000000000001E-2</v>
      </c>
      <c r="AJ12" s="34">
        <f t="shared" si="8"/>
        <v>4.0399999999999998E-2</v>
      </c>
      <c r="AL12" s="33" t="s">
        <v>60</v>
      </c>
      <c r="AM12" s="34">
        <v>0</v>
      </c>
      <c r="AN12" s="34">
        <v>0</v>
      </c>
      <c r="AO12" s="34">
        <f t="shared" si="6"/>
        <v>0</v>
      </c>
    </row>
    <row r="13" spans="2:41" x14ac:dyDescent="0.25">
      <c r="B13" s="33" t="s">
        <v>53</v>
      </c>
      <c r="C13" s="34">
        <v>0</v>
      </c>
      <c r="D13" s="34">
        <v>0</v>
      </c>
      <c r="E13" s="34">
        <f t="shared" si="0"/>
        <v>0</v>
      </c>
      <c r="G13" s="33" t="s">
        <v>53</v>
      </c>
      <c r="H13" s="34">
        <v>0</v>
      </c>
      <c r="I13" s="34">
        <v>0</v>
      </c>
      <c r="J13" s="34">
        <f t="shared" si="1"/>
        <v>0</v>
      </c>
      <c r="M13" s="35" t="s">
        <v>20</v>
      </c>
      <c r="N13" s="36">
        <v>6.93E-2</v>
      </c>
      <c r="O13" s="36">
        <v>0</v>
      </c>
      <c r="P13" s="36">
        <f t="shared" si="2"/>
        <v>-6.93E-2</v>
      </c>
      <c r="R13" s="33" t="s">
        <v>20</v>
      </c>
      <c r="S13" s="34">
        <v>6.93E-2</v>
      </c>
      <c r="T13" s="34">
        <v>0</v>
      </c>
      <c r="U13" s="34">
        <f t="shared" si="3"/>
        <v>-6.93E-2</v>
      </c>
      <c r="X13" s="35" t="s">
        <v>34</v>
      </c>
      <c r="Y13" s="36">
        <v>0</v>
      </c>
      <c r="Z13" s="36">
        <v>0</v>
      </c>
      <c r="AA13" s="36">
        <f t="shared" si="4"/>
        <v>0</v>
      </c>
      <c r="AC13">
        <v>6</v>
      </c>
      <c r="AD13" s="33" t="s">
        <v>34</v>
      </c>
      <c r="AE13" s="34">
        <v>0</v>
      </c>
      <c r="AF13" s="34">
        <v>0.2001</v>
      </c>
      <c r="AG13" s="34">
        <f t="shared" si="5"/>
        <v>0.2001</v>
      </c>
      <c r="AI13">
        <f t="shared" si="7"/>
        <v>0.10005</v>
      </c>
      <c r="AJ13" s="34">
        <f t="shared" si="8"/>
        <v>0.10005</v>
      </c>
      <c r="AL13" s="33" t="s">
        <v>24</v>
      </c>
      <c r="AM13" s="34">
        <v>0</v>
      </c>
      <c r="AN13" s="34">
        <v>3.7400000000000003E-2</v>
      </c>
      <c r="AO13" s="34">
        <f t="shared" si="6"/>
        <v>3.7400000000000003E-2</v>
      </c>
    </row>
    <row r="14" spans="2:41" x14ac:dyDescent="0.25">
      <c r="B14" s="33" t="s">
        <v>44</v>
      </c>
      <c r="C14" s="34">
        <v>0</v>
      </c>
      <c r="D14" s="34">
        <v>0</v>
      </c>
      <c r="E14" s="34">
        <f t="shared" si="0"/>
        <v>0</v>
      </c>
      <c r="G14" s="33" t="s">
        <v>44</v>
      </c>
      <c r="H14" s="34">
        <v>0</v>
      </c>
      <c r="I14" s="34">
        <v>0</v>
      </c>
      <c r="J14" s="34">
        <f t="shared" si="1"/>
        <v>0</v>
      </c>
      <c r="M14" s="33" t="s">
        <v>98</v>
      </c>
      <c r="N14" s="34">
        <v>1.38E-2</v>
      </c>
      <c r="O14" s="34">
        <v>0</v>
      </c>
      <c r="P14" s="34">
        <f t="shared" si="2"/>
        <v>-1.38E-2</v>
      </c>
      <c r="R14" s="33" t="s">
        <v>98</v>
      </c>
      <c r="S14" s="34">
        <v>1.38E-2</v>
      </c>
      <c r="T14" s="34">
        <v>0</v>
      </c>
      <c r="U14" s="34">
        <f t="shared" si="3"/>
        <v>-1.38E-2</v>
      </c>
      <c r="X14" s="35" t="s">
        <v>55</v>
      </c>
      <c r="Y14" s="36">
        <v>0</v>
      </c>
      <c r="Z14" s="36">
        <v>0.17960000000000001</v>
      </c>
      <c r="AA14" s="36">
        <f t="shared" si="4"/>
        <v>0.17960000000000001</v>
      </c>
      <c r="AC14">
        <v>7</v>
      </c>
      <c r="AD14" s="33" t="s">
        <v>55</v>
      </c>
      <c r="AE14" s="34">
        <v>0</v>
      </c>
      <c r="AF14" s="34">
        <v>0.29949999999999999</v>
      </c>
      <c r="AG14" s="34">
        <f t="shared" si="5"/>
        <v>0.29949999999999999</v>
      </c>
      <c r="AI14">
        <f t="shared" si="7"/>
        <v>0.23954999999999999</v>
      </c>
      <c r="AJ14" s="34">
        <f t="shared" si="8"/>
        <v>0.23954999999999999</v>
      </c>
      <c r="AL14" s="33" t="s">
        <v>30</v>
      </c>
      <c r="AM14" s="34">
        <v>0</v>
      </c>
      <c r="AN14" s="34">
        <v>0</v>
      </c>
      <c r="AO14" s="34">
        <f t="shared" si="6"/>
        <v>0</v>
      </c>
    </row>
    <row r="15" spans="2:41" x14ac:dyDescent="0.25">
      <c r="B15" s="37" t="s">
        <v>89</v>
      </c>
      <c r="C15" s="38">
        <v>6.7400000000000002E-2</v>
      </c>
      <c r="D15" s="38">
        <v>0.19650000000000001</v>
      </c>
      <c r="E15" s="38">
        <f t="shared" si="0"/>
        <v>0.12909999999999999</v>
      </c>
      <c r="G15" s="37" t="s">
        <v>89</v>
      </c>
      <c r="H15" s="38">
        <v>6.7400000000000002E-2</v>
      </c>
      <c r="I15" s="38">
        <v>0.16420000000000001</v>
      </c>
      <c r="J15" s="38">
        <f t="shared" si="1"/>
        <v>9.6800000000000011E-2</v>
      </c>
      <c r="M15" s="33" t="s">
        <v>89</v>
      </c>
      <c r="N15" s="34">
        <v>1.5100000000000001E-2</v>
      </c>
      <c r="O15" s="34">
        <v>0</v>
      </c>
      <c r="P15" s="34">
        <f t="shared" si="2"/>
        <v>-1.5100000000000001E-2</v>
      </c>
      <c r="R15" s="33" t="s">
        <v>89</v>
      </c>
      <c r="S15" s="34">
        <v>1.5100000000000001E-2</v>
      </c>
      <c r="T15" s="34">
        <v>0</v>
      </c>
      <c r="U15" s="34">
        <f t="shared" si="3"/>
        <v>-1.5100000000000001E-2</v>
      </c>
      <c r="X15" s="33" t="s">
        <v>56</v>
      </c>
      <c r="Y15" s="34">
        <v>0</v>
      </c>
      <c r="Z15" s="34">
        <v>0</v>
      </c>
      <c r="AA15" s="34">
        <f t="shared" si="4"/>
        <v>0</v>
      </c>
      <c r="AC15">
        <v>8</v>
      </c>
      <c r="AD15" s="33" t="s">
        <v>56</v>
      </c>
      <c r="AE15" s="34">
        <v>0</v>
      </c>
      <c r="AF15" s="34">
        <v>0</v>
      </c>
      <c r="AG15" s="34">
        <f t="shared" si="5"/>
        <v>0</v>
      </c>
      <c r="AI15">
        <f t="shared" si="7"/>
        <v>0</v>
      </c>
      <c r="AJ15" s="34">
        <f t="shared" si="8"/>
        <v>0</v>
      </c>
      <c r="AL15" s="33" t="s">
        <v>82</v>
      </c>
      <c r="AM15" s="34">
        <v>0</v>
      </c>
      <c r="AN15" s="34">
        <v>0</v>
      </c>
      <c r="AO15" s="34">
        <f t="shared" si="6"/>
        <v>0</v>
      </c>
    </row>
    <row r="16" spans="2:41" x14ac:dyDescent="0.25">
      <c r="B16" s="37" t="s">
        <v>90</v>
      </c>
      <c r="C16" s="38">
        <v>0</v>
      </c>
      <c r="D16" s="38">
        <v>0.2172</v>
      </c>
      <c r="E16" s="38">
        <f t="shared" si="0"/>
        <v>0.2172</v>
      </c>
      <c r="G16" s="37" t="s">
        <v>90</v>
      </c>
      <c r="H16" s="38">
        <v>0</v>
      </c>
      <c r="I16" s="38">
        <v>0.1183</v>
      </c>
      <c r="J16" s="38">
        <f t="shared" si="1"/>
        <v>0.1183</v>
      </c>
      <c r="M16" s="33" t="s">
        <v>59</v>
      </c>
      <c r="N16" s="34">
        <v>4.6899999999999997E-2</v>
      </c>
      <c r="O16" s="34">
        <v>0</v>
      </c>
      <c r="P16" s="34">
        <f t="shared" si="2"/>
        <v>-4.6899999999999997E-2</v>
      </c>
      <c r="R16" s="33" t="s">
        <v>59</v>
      </c>
      <c r="S16" s="34">
        <v>4.6899999999999997E-2</v>
      </c>
      <c r="T16" s="34">
        <v>0</v>
      </c>
      <c r="U16" s="34">
        <f t="shared" si="3"/>
        <v>-4.6899999999999997E-2</v>
      </c>
      <c r="X16" s="33" t="s">
        <v>41</v>
      </c>
      <c r="Y16" s="34">
        <v>5.7200000000000001E-2</v>
      </c>
      <c r="Z16" s="34">
        <v>1.89E-2</v>
      </c>
      <c r="AA16" s="34">
        <f t="shared" si="4"/>
        <v>-3.8300000000000001E-2</v>
      </c>
      <c r="AC16">
        <v>9</v>
      </c>
      <c r="AD16" s="33" t="s">
        <v>41</v>
      </c>
      <c r="AE16" s="34">
        <v>5.7200000000000001E-2</v>
      </c>
      <c r="AF16" s="34">
        <v>0</v>
      </c>
      <c r="AG16" s="34">
        <f t="shared" si="5"/>
        <v>-5.7200000000000001E-2</v>
      </c>
      <c r="AI16">
        <f t="shared" si="7"/>
        <v>9.4500000000000001E-3</v>
      </c>
      <c r="AJ16" s="34">
        <f t="shared" si="8"/>
        <v>-4.7750000000000001E-2</v>
      </c>
    </row>
    <row r="17" spans="2:38" x14ac:dyDescent="0.25">
      <c r="M17" s="33" t="s">
        <v>46</v>
      </c>
      <c r="N17" s="34">
        <v>6.2E-2</v>
      </c>
      <c r="O17" s="34">
        <v>0</v>
      </c>
      <c r="P17" s="34">
        <f t="shared" si="2"/>
        <v>-6.2E-2</v>
      </c>
      <c r="R17" s="33" t="s">
        <v>46</v>
      </c>
      <c r="S17" s="34">
        <v>6.2E-2</v>
      </c>
      <c r="T17" s="34">
        <v>0</v>
      </c>
      <c r="U17" s="34">
        <f t="shared" si="3"/>
        <v>-6.2E-2</v>
      </c>
    </row>
    <row r="18" spans="2:38" x14ac:dyDescent="0.25">
      <c r="M18" s="33" t="s">
        <v>43</v>
      </c>
      <c r="N18" s="34">
        <v>3.5900000000000001E-2</v>
      </c>
      <c r="O18" s="34">
        <v>0</v>
      </c>
      <c r="P18" s="34">
        <f t="shared" si="2"/>
        <v>-3.5900000000000001E-2</v>
      </c>
      <c r="R18" s="33" t="s">
        <v>43</v>
      </c>
      <c r="S18" s="34">
        <v>3.5900000000000001E-2</v>
      </c>
      <c r="T18" s="34">
        <v>0</v>
      </c>
      <c r="U18" s="34">
        <f t="shared" si="3"/>
        <v>-3.5900000000000001E-2</v>
      </c>
      <c r="X18" t="s">
        <v>143</v>
      </c>
      <c r="AD18" t="s">
        <v>117</v>
      </c>
      <c r="AE18" t="s">
        <v>118</v>
      </c>
      <c r="AF18" t="s">
        <v>115</v>
      </c>
      <c r="AG18" s="29">
        <v>0.13339999999999999</v>
      </c>
      <c r="AL18" t="s">
        <v>147</v>
      </c>
    </row>
    <row r="19" spans="2:38" x14ac:dyDescent="0.25">
      <c r="B19" t="s">
        <v>117</v>
      </c>
      <c r="C19" t="s">
        <v>118</v>
      </c>
      <c r="D19" t="s">
        <v>115</v>
      </c>
      <c r="E19" s="29">
        <v>0.15629999999999999</v>
      </c>
      <c r="M19" s="33" t="s">
        <v>13</v>
      </c>
      <c r="N19" s="34">
        <v>5.91E-2</v>
      </c>
      <c r="O19" s="34">
        <v>0</v>
      </c>
      <c r="P19" s="34">
        <f t="shared" si="2"/>
        <v>-5.91E-2</v>
      </c>
      <c r="R19" s="33" t="s">
        <v>13</v>
      </c>
      <c r="S19" s="34">
        <v>5.91E-2</v>
      </c>
      <c r="T19" s="34">
        <v>0</v>
      </c>
      <c r="U19" s="34">
        <f t="shared" si="3"/>
        <v>-5.91E-2</v>
      </c>
      <c r="X19" s="39" t="s">
        <v>80</v>
      </c>
      <c r="Y19" t="s">
        <v>144</v>
      </c>
      <c r="AD19" t="s">
        <v>117</v>
      </c>
      <c r="AE19" t="s">
        <v>118</v>
      </c>
      <c r="AF19" t="s">
        <v>119</v>
      </c>
      <c r="AG19" s="29">
        <v>0.13569999999999999</v>
      </c>
    </row>
    <row r="20" spans="2:38" x14ac:dyDescent="0.25">
      <c r="B20" t="s">
        <v>117</v>
      </c>
      <c r="C20" t="s">
        <v>118</v>
      </c>
      <c r="D20" t="s">
        <v>119</v>
      </c>
      <c r="E20" s="29">
        <v>0.1726</v>
      </c>
      <c r="M20" s="33" t="s">
        <v>12</v>
      </c>
      <c r="N20" s="34">
        <v>7.8200000000000006E-2</v>
      </c>
      <c r="O20" s="34">
        <v>0</v>
      </c>
      <c r="P20" s="34">
        <f t="shared" si="2"/>
        <v>-7.8200000000000006E-2</v>
      </c>
      <c r="R20" s="33" t="s">
        <v>12</v>
      </c>
      <c r="S20" s="34">
        <v>7.8200000000000006E-2</v>
      </c>
      <c r="T20" s="34">
        <v>0</v>
      </c>
      <c r="U20" s="34">
        <f t="shared" si="3"/>
        <v>-7.8200000000000006E-2</v>
      </c>
      <c r="X20" s="33" t="s">
        <v>96</v>
      </c>
      <c r="Y20" s="29">
        <v>2.5000000000000001E-2</v>
      </c>
      <c r="AD20" t="s">
        <v>141</v>
      </c>
      <c r="AG20" s="22">
        <v>0.81</v>
      </c>
    </row>
    <row r="21" spans="2:38" x14ac:dyDescent="0.25">
      <c r="B21" t="s">
        <v>141</v>
      </c>
      <c r="E21" s="22">
        <v>0.81</v>
      </c>
      <c r="M21" s="35" t="s">
        <v>28</v>
      </c>
      <c r="N21" s="36">
        <v>8.9599999999999999E-2</v>
      </c>
      <c r="O21" s="36">
        <v>0</v>
      </c>
      <c r="P21" s="36">
        <f t="shared" si="2"/>
        <v>-8.9599999999999999E-2</v>
      </c>
      <c r="R21" s="33" t="s">
        <v>28</v>
      </c>
      <c r="S21" s="34">
        <v>8.9599999999999999E-2</v>
      </c>
      <c r="T21" s="34">
        <v>0</v>
      </c>
      <c r="U21" s="34">
        <f t="shared" si="3"/>
        <v>-8.9599999999999999E-2</v>
      </c>
      <c r="X21" s="33" t="s">
        <v>5</v>
      </c>
      <c r="Y21" s="29">
        <v>8.2000000000000003E-2</v>
      </c>
      <c r="AD21" t="s">
        <v>128</v>
      </c>
    </row>
    <row r="22" spans="2:38" x14ac:dyDescent="0.25">
      <c r="B22" t="s">
        <v>150</v>
      </c>
      <c r="M22" s="33" t="s">
        <v>50</v>
      </c>
      <c r="N22" s="34">
        <v>0</v>
      </c>
      <c r="O22" s="34">
        <v>0.1867</v>
      </c>
      <c r="P22" s="34">
        <f t="shared" si="2"/>
        <v>0.1867</v>
      </c>
      <c r="R22" s="33" t="s">
        <v>50</v>
      </c>
      <c r="S22" s="34">
        <v>0</v>
      </c>
      <c r="T22" s="34">
        <v>0</v>
      </c>
      <c r="U22" s="34">
        <f t="shared" si="3"/>
        <v>0</v>
      </c>
      <c r="X22" s="33" t="s">
        <v>20</v>
      </c>
      <c r="Y22" s="29">
        <v>3.4000000000000002E-2</v>
      </c>
      <c r="AD22" s="39" t="s">
        <v>80</v>
      </c>
      <c r="AE22" s="39" t="s">
        <v>2</v>
      </c>
      <c r="AF22" s="39" t="s">
        <v>127</v>
      </c>
      <c r="AG22" s="39" t="s">
        <v>120</v>
      </c>
    </row>
    <row r="23" spans="2:38" x14ac:dyDescent="0.25">
      <c r="B23" s="39" t="s">
        <v>80</v>
      </c>
      <c r="C23" s="39" t="s">
        <v>2</v>
      </c>
      <c r="D23" s="39" t="s">
        <v>116</v>
      </c>
      <c r="E23" s="39" t="s">
        <v>120</v>
      </c>
      <c r="M23" s="33" t="s">
        <v>25</v>
      </c>
      <c r="N23" s="34">
        <v>0</v>
      </c>
      <c r="O23" s="34">
        <v>0.21809999999999999</v>
      </c>
      <c r="P23" s="34">
        <f t="shared" si="2"/>
        <v>0.21809999999999999</v>
      </c>
      <c r="R23" s="33" t="s">
        <v>25</v>
      </c>
      <c r="S23" s="34">
        <v>0</v>
      </c>
      <c r="T23" s="34">
        <v>0</v>
      </c>
      <c r="U23" s="34">
        <f t="shared" si="3"/>
        <v>0</v>
      </c>
      <c r="X23" s="33" t="s">
        <v>16</v>
      </c>
      <c r="Y23" s="29">
        <v>2.8000000000000001E-2</v>
      </c>
      <c r="AD23" s="33" t="s">
        <v>16</v>
      </c>
      <c r="AE23" s="34">
        <v>0.2319</v>
      </c>
      <c r="AF23" s="34">
        <v>6.0100000000000001E-2</v>
      </c>
      <c r="AG23" s="34">
        <f t="shared" ref="AG23:AG32" si="9">AF23-AE23</f>
        <v>-0.17180000000000001</v>
      </c>
    </row>
    <row r="24" spans="2:38" x14ac:dyDescent="0.25">
      <c r="B24" s="50" t="s">
        <v>101</v>
      </c>
      <c r="C24" s="51">
        <v>0.22159999999999999</v>
      </c>
      <c r="D24" s="51">
        <v>0</v>
      </c>
      <c r="E24" s="51">
        <f t="shared" ref="E24:E34" si="10">D24-C24</f>
        <v>-0.22159999999999999</v>
      </c>
      <c r="F24" t="s">
        <v>151</v>
      </c>
      <c r="M24" s="33" t="s">
        <v>9</v>
      </c>
      <c r="N24" s="34">
        <v>0</v>
      </c>
      <c r="O24" s="34">
        <v>0</v>
      </c>
      <c r="P24" s="34">
        <f t="shared" si="2"/>
        <v>0</v>
      </c>
      <c r="R24" s="33" t="s">
        <v>9</v>
      </c>
      <c r="S24" s="34">
        <v>0</v>
      </c>
      <c r="T24" s="34">
        <v>0</v>
      </c>
      <c r="U24" s="34">
        <f t="shared" si="3"/>
        <v>0</v>
      </c>
      <c r="X24" s="33" t="s">
        <v>43</v>
      </c>
      <c r="Y24" s="29">
        <v>2.5999999999999999E-2</v>
      </c>
      <c r="AD24" s="33" t="s">
        <v>41</v>
      </c>
      <c r="AE24" s="34">
        <v>5.7200000000000001E-2</v>
      </c>
      <c r="AF24" s="34">
        <v>2.41E-2</v>
      </c>
      <c r="AG24" s="34">
        <f t="shared" si="9"/>
        <v>-3.3100000000000004E-2</v>
      </c>
    </row>
    <row r="25" spans="2:38" x14ac:dyDescent="0.25">
      <c r="B25" s="35" t="s">
        <v>46</v>
      </c>
      <c r="C25" s="36">
        <v>0.22120000000000001</v>
      </c>
      <c r="D25" s="36">
        <v>8.3099999999999993E-2</v>
      </c>
      <c r="E25" s="36">
        <f t="shared" si="10"/>
        <v>-0.1381</v>
      </c>
      <c r="M25" s="33" t="s">
        <v>17</v>
      </c>
      <c r="N25" s="34">
        <v>0</v>
      </c>
      <c r="O25" s="34">
        <v>0</v>
      </c>
      <c r="P25" s="34">
        <f t="shared" si="2"/>
        <v>0</v>
      </c>
      <c r="R25" s="33" t="s">
        <v>17</v>
      </c>
      <c r="S25" s="34">
        <v>0</v>
      </c>
      <c r="T25" s="34">
        <v>0</v>
      </c>
      <c r="U25" s="34">
        <f t="shared" si="3"/>
        <v>0</v>
      </c>
      <c r="X25" s="49" t="s">
        <v>145</v>
      </c>
      <c r="Y25" s="29"/>
      <c r="AD25" s="33" t="s">
        <v>43</v>
      </c>
      <c r="AE25" s="34">
        <v>0.13170000000000001</v>
      </c>
      <c r="AF25" s="34">
        <v>2.1700000000000001E-2</v>
      </c>
      <c r="AG25" s="34">
        <f t="shared" si="9"/>
        <v>-0.11000000000000001</v>
      </c>
    </row>
    <row r="26" spans="2:38" x14ac:dyDescent="0.25">
      <c r="B26" s="37" t="s">
        <v>27</v>
      </c>
      <c r="C26" s="38">
        <v>0.20300000000000001</v>
      </c>
      <c r="D26" s="38">
        <v>0.56920000000000004</v>
      </c>
      <c r="E26" s="38">
        <f t="shared" si="10"/>
        <v>0.36620000000000003</v>
      </c>
      <c r="M26" s="33" t="s">
        <v>34</v>
      </c>
      <c r="N26" s="34">
        <v>0</v>
      </c>
      <c r="O26" s="34">
        <v>0</v>
      </c>
      <c r="P26" s="34">
        <f t="shared" si="2"/>
        <v>0</v>
      </c>
      <c r="R26" s="33" t="s">
        <v>34</v>
      </c>
      <c r="S26" s="34">
        <v>0</v>
      </c>
      <c r="T26" s="34">
        <v>0</v>
      </c>
      <c r="U26" s="34">
        <f t="shared" si="3"/>
        <v>0</v>
      </c>
      <c r="X26" s="49" t="s">
        <v>146</v>
      </c>
      <c r="Y26" s="29"/>
      <c r="AD26" s="33" t="s">
        <v>56</v>
      </c>
      <c r="AE26" s="34">
        <v>0</v>
      </c>
      <c r="AF26" s="34">
        <v>0</v>
      </c>
      <c r="AG26" s="34">
        <f t="shared" si="9"/>
        <v>0</v>
      </c>
    </row>
    <row r="27" spans="2:38" x14ac:dyDescent="0.25">
      <c r="B27" s="35" t="s">
        <v>92</v>
      </c>
      <c r="C27" s="36">
        <v>0.23980000000000001</v>
      </c>
      <c r="D27" s="36">
        <v>0</v>
      </c>
      <c r="E27" s="36">
        <f t="shared" si="10"/>
        <v>-0.23980000000000001</v>
      </c>
      <c r="M27" s="33" t="s">
        <v>60</v>
      </c>
      <c r="N27" s="34">
        <v>0</v>
      </c>
      <c r="O27" s="34">
        <v>0</v>
      </c>
      <c r="P27" s="34">
        <f t="shared" si="2"/>
        <v>0</v>
      </c>
      <c r="R27" s="33" t="s">
        <v>60</v>
      </c>
      <c r="S27" s="34">
        <v>0</v>
      </c>
      <c r="T27" s="34">
        <v>0</v>
      </c>
      <c r="U27" s="34">
        <f t="shared" si="3"/>
        <v>0</v>
      </c>
      <c r="Y27" s="29"/>
      <c r="AD27" s="33" t="s">
        <v>55</v>
      </c>
      <c r="AE27" s="34">
        <v>0</v>
      </c>
      <c r="AF27" s="34">
        <v>0.41249999999999998</v>
      </c>
      <c r="AG27" s="34">
        <f t="shared" si="9"/>
        <v>0.41249999999999998</v>
      </c>
    </row>
    <row r="28" spans="2:38" x14ac:dyDescent="0.25">
      <c r="B28" s="33" t="s">
        <v>90</v>
      </c>
      <c r="C28" s="34">
        <v>0</v>
      </c>
      <c r="D28" s="34">
        <v>0</v>
      </c>
      <c r="E28" s="34">
        <f t="shared" si="10"/>
        <v>0</v>
      </c>
      <c r="M28" s="33" t="s">
        <v>24</v>
      </c>
      <c r="N28" s="34">
        <v>0</v>
      </c>
      <c r="O28" s="34">
        <v>0</v>
      </c>
      <c r="P28" s="34">
        <f t="shared" si="2"/>
        <v>0</v>
      </c>
      <c r="R28" s="33" t="s">
        <v>24</v>
      </c>
      <c r="S28" s="34">
        <v>0</v>
      </c>
      <c r="T28" s="34">
        <v>0.73240000000000005</v>
      </c>
      <c r="U28" s="34">
        <f t="shared" si="3"/>
        <v>0.73240000000000005</v>
      </c>
      <c r="Y28" s="29"/>
      <c r="AD28" s="33" t="s">
        <v>34</v>
      </c>
      <c r="AE28" s="34">
        <v>0</v>
      </c>
      <c r="AF28" s="34">
        <v>0.1847</v>
      </c>
      <c r="AG28" s="34">
        <f t="shared" si="9"/>
        <v>0.1847</v>
      </c>
    </row>
    <row r="29" spans="2:38" x14ac:dyDescent="0.25">
      <c r="B29" s="33" t="s">
        <v>50</v>
      </c>
      <c r="C29" s="34">
        <v>0</v>
      </c>
      <c r="D29" s="34">
        <v>0</v>
      </c>
      <c r="E29" s="34">
        <f t="shared" si="10"/>
        <v>0</v>
      </c>
      <c r="M29" s="33" t="s">
        <v>30</v>
      </c>
      <c r="N29" s="34">
        <v>0</v>
      </c>
      <c r="O29" s="34">
        <v>0</v>
      </c>
      <c r="P29" s="34">
        <f t="shared" si="2"/>
        <v>0</v>
      </c>
      <c r="R29" s="33" t="s">
        <v>30</v>
      </c>
      <c r="S29" s="34">
        <v>0</v>
      </c>
      <c r="T29" s="34">
        <v>0</v>
      </c>
      <c r="U29" s="34">
        <f t="shared" si="3"/>
        <v>0</v>
      </c>
      <c r="Y29" s="29"/>
      <c r="AD29" s="33" t="s">
        <v>59</v>
      </c>
      <c r="AE29" s="34">
        <v>1E-4</v>
      </c>
      <c r="AF29" s="34">
        <v>0.12939999999999999</v>
      </c>
      <c r="AG29" s="34">
        <f t="shared" si="9"/>
        <v>0.1293</v>
      </c>
    </row>
    <row r="30" spans="2:38" x14ac:dyDescent="0.25">
      <c r="B30" s="33" t="s">
        <v>44</v>
      </c>
      <c r="C30" s="34">
        <v>0</v>
      </c>
      <c r="D30" s="34">
        <v>0</v>
      </c>
      <c r="E30" s="34">
        <f t="shared" si="10"/>
        <v>0</v>
      </c>
      <c r="M30" s="33" t="s">
        <v>32</v>
      </c>
      <c r="N30" s="34">
        <v>0</v>
      </c>
      <c r="O30" s="34">
        <v>0</v>
      </c>
      <c r="P30" s="34">
        <f t="shared" si="2"/>
        <v>0</v>
      </c>
      <c r="R30" s="33" t="s">
        <v>32</v>
      </c>
      <c r="S30" s="34">
        <v>0</v>
      </c>
      <c r="T30" s="34">
        <v>0</v>
      </c>
      <c r="U30" s="34">
        <f t="shared" si="3"/>
        <v>0</v>
      </c>
      <c r="Z30" s="29"/>
      <c r="AD30" s="33" t="s">
        <v>96</v>
      </c>
      <c r="AE30" s="34">
        <v>0.1174</v>
      </c>
      <c r="AF30" s="34">
        <v>0.13350000000000001</v>
      </c>
      <c r="AG30" s="34">
        <f t="shared" si="9"/>
        <v>1.6100000000000003E-2</v>
      </c>
    </row>
    <row r="31" spans="2:38" x14ac:dyDescent="0.25">
      <c r="B31" s="33" t="s">
        <v>48</v>
      </c>
      <c r="C31" s="34">
        <v>0</v>
      </c>
      <c r="D31" s="34">
        <v>0</v>
      </c>
      <c r="E31" s="34">
        <f t="shared" si="10"/>
        <v>0</v>
      </c>
      <c r="M31" s="33" t="s">
        <v>82</v>
      </c>
      <c r="N31" s="34">
        <v>0</v>
      </c>
      <c r="O31" s="34">
        <v>0</v>
      </c>
      <c r="P31" s="34">
        <f t="shared" si="2"/>
        <v>0</v>
      </c>
      <c r="R31" s="33" t="s">
        <v>82</v>
      </c>
      <c r="S31" s="34">
        <v>0</v>
      </c>
      <c r="T31" s="34">
        <v>0.2676</v>
      </c>
      <c r="U31" s="34">
        <f t="shared" si="3"/>
        <v>0.2676</v>
      </c>
      <c r="Z31" s="29"/>
      <c r="AD31" s="33" t="s">
        <v>20</v>
      </c>
      <c r="AE31" s="34">
        <v>0.2039</v>
      </c>
      <c r="AF31" s="34">
        <v>0</v>
      </c>
      <c r="AG31" s="34">
        <f t="shared" si="9"/>
        <v>-0.2039</v>
      </c>
    </row>
    <row r="32" spans="2:38" x14ac:dyDescent="0.25">
      <c r="B32" s="33" t="s">
        <v>32</v>
      </c>
      <c r="C32" s="34">
        <v>0</v>
      </c>
      <c r="D32" s="34">
        <v>0</v>
      </c>
      <c r="E32" s="34">
        <f t="shared" si="10"/>
        <v>0</v>
      </c>
      <c r="M32" s="33" t="s">
        <v>48</v>
      </c>
      <c r="N32" s="34">
        <v>0</v>
      </c>
      <c r="O32" s="34">
        <v>0</v>
      </c>
      <c r="P32" s="34">
        <f t="shared" si="2"/>
        <v>0</v>
      </c>
      <c r="R32" s="33" t="s">
        <v>48</v>
      </c>
      <c r="S32" s="34">
        <v>0</v>
      </c>
      <c r="T32" s="34">
        <v>0</v>
      </c>
      <c r="U32" s="34">
        <f t="shared" si="3"/>
        <v>0</v>
      </c>
      <c r="AD32" s="33" t="s">
        <v>5</v>
      </c>
      <c r="AE32" s="34">
        <v>0.25779999999999997</v>
      </c>
      <c r="AF32" s="34">
        <v>3.4000000000000002E-2</v>
      </c>
      <c r="AG32" s="34">
        <f t="shared" si="9"/>
        <v>-0.22379999999999997</v>
      </c>
    </row>
    <row r="33" spans="2:31" x14ac:dyDescent="0.25">
      <c r="B33" s="37" t="s">
        <v>53</v>
      </c>
      <c r="C33" s="38">
        <v>0</v>
      </c>
      <c r="D33" s="38">
        <v>4.9700000000000001E-2</v>
      </c>
      <c r="E33" s="38">
        <f t="shared" si="10"/>
        <v>4.9700000000000001E-2</v>
      </c>
      <c r="M33" s="33" t="s">
        <v>53</v>
      </c>
      <c r="N33" s="34">
        <v>0</v>
      </c>
      <c r="O33" s="34">
        <v>0</v>
      </c>
      <c r="P33" s="34">
        <f t="shared" si="2"/>
        <v>0</v>
      </c>
      <c r="R33" s="33" t="s">
        <v>53</v>
      </c>
      <c r="S33" s="34">
        <v>0</v>
      </c>
      <c r="T33" s="34">
        <v>0</v>
      </c>
      <c r="U33" s="34">
        <f t="shared" si="3"/>
        <v>0</v>
      </c>
    </row>
    <row r="34" spans="2:31" x14ac:dyDescent="0.25">
      <c r="B34" s="37" t="s">
        <v>89</v>
      </c>
      <c r="C34" s="38">
        <v>0.1144</v>
      </c>
      <c r="D34" s="38">
        <v>0.29799999999999999</v>
      </c>
      <c r="E34" s="38">
        <f t="shared" si="10"/>
        <v>0.18359999999999999</v>
      </c>
      <c r="M34" s="33" t="s">
        <v>44</v>
      </c>
      <c r="N34" s="34">
        <v>0</v>
      </c>
      <c r="O34" s="34">
        <v>0</v>
      </c>
      <c r="P34" s="34">
        <f t="shared" si="2"/>
        <v>0</v>
      </c>
      <c r="R34" s="33" t="s">
        <v>44</v>
      </c>
      <c r="S34" s="34">
        <v>0</v>
      </c>
      <c r="T34" s="34">
        <v>0</v>
      </c>
      <c r="U34" s="34">
        <f t="shared" si="3"/>
        <v>0</v>
      </c>
      <c r="AD34" s="29"/>
      <c r="AE34" s="29"/>
    </row>
    <row r="35" spans="2:31" x14ac:dyDescent="0.25">
      <c r="M35" s="33" t="s">
        <v>55</v>
      </c>
      <c r="N35" s="34">
        <v>0</v>
      </c>
      <c r="O35" s="34">
        <v>0</v>
      </c>
      <c r="P35" s="34">
        <f t="shared" si="2"/>
        <v>0</v>
      </c>
      <c r="R35" s="33" t="s">
        <v>55</v>
      </c>
      <c r="S35" s="34">
        <v>0</v>
      </c>
      <c r="T35" s="34">
        <v>0</v>
      </c>
      <c r="U35" s="34">
        <f t="shared" si="3"/>
        <v>0</v>
      </c>
      <c r="Y35" s="29"/>
      <c r="Z35" s="29"/>
      <c r="AD35" s="29"/>
      <c r="AE35" s="29"/>
    </row>
    <row r="36" spans="2:31" x14ac:dyDescent="0.25">
      <c r="M36" s="33" t="s">
        <v>73</v>
      </c>
      <c r="N36" s="34">
        <v>0</v>
      </c>
      <c r="O36" s="34">
        <v>0</v>
      </c>
      <c r="P36" s="34">
        <f t="shared" si="2"/>
        <v>0</v>
      </c>
      <c r="R36" s="33" t="s">
        <v>73</v>
      </c>
      <c r="S36" s="34">
        <v>0</v>
      </c>
      <c r="T36" s="34">
        <v>0</v>
      </c>
      <c r="U36" s="34">
        <f t="shared" si="3"/>
        <v>0</v>
      </c>
      <c r="Y36" s="29"/>
      <c r="Z36" s="29"/>
      <c r="AD36" s="29"/>
      <c r="AE36" s="29"/>
    </row>
    <row r="37" spans="2:31" x14ac:dyDescent="0.25">
      <c r="M37" s="33" t="s">
        <v>56</v>
      </c>
      <c r="N37" s="34">
        <v>0</v>
      </c>
      <c r="O37" s="34">
        <v>0</v>
      </c>
      <c r="P37" s="34">
        <f t="shared" si="2"/>
        <v>0</v>
      </c>
      <c r="R37" s="33" t="s">
        <v>56</v>
      </c>
      <c r="S37" s="34">
        <v>0</v>
      </c>
      <c r="T37" s="34">
        <v>0</v>
      </c>
      <c r="U37" s="34">
        <f t="shared" si="3"/>
        <v>0</v>
      </c>
      <c r="Y37" s="29"/>
      <c r="Z37" s="29"/>
      <c r="AD37" s="29"/>
      <c r="AE37" s="29"/>
    </row>
    <row r="38" spans="2:31" x14ac:dyDescent="0.25">
      <c r="M38" s="33" t="s">
        <v>41</v>
      </c>
      <c r="N38" s="34">
        <v>0</v>
      </c>
      <c r="O38" s="34">
        <v>0</v>
      </c>
      <c r="P38" s="34">
        <f t="shared" si="2"/>
        <v>0</v>
      </c>
      <c r="R38" s="33" t="s">
        <v>41</v>
      </c>
      <c r="S38" s="34">
        <v>0</v>
      </c>
      <c r="T38" s="34">
        <v>0</v>
      </c>
      <c r="U38" s="34">
        <f t="shared" si="3"/>
        <v>0</v>
      </c>
      <c r="Y38" s="29"/>
      <c r="Z38" s="29"/>
      <c r="AD38" s="29"/>
      <c r="AE38" s="29"/>
    </row>
    <row r="39" spans="2:31" x14ac:dyDescent="0.25">
      <c r="M39" s="33" t="s">
        <v>87</v>
      </c>
      <c r="N39" s="34">
        <v>0</v>
      </c>
      <c r="O39" s="34">
        <v>0</v>
      </c>
      <c r="P39" s="34">
        <f t="shared" si="2"/>
        <v>0</v>
      </c>
      <c r="R39" s="33" t="s">
        <v>87</v>
      </c>
      <c r="S39" s="34">
        <v>0</v>
      </c>
      <c r="T39" s="34">
        <v>0</v>
      </c>
      <c r="U39" s="34">
        <f t="shared" si="3"/>
        <v>0</v>
      </c>
      <c r="Y39" s="29"/>
      <c r="Z39" s="29"/>
      <c r="AD39" s="29"/>
      <c r="AE39" s="29"/>
    </row>
    <row r="40" spans="2:31" x14ac:dyDescent="0.25">
      <c r="M40" s="33" t="s">
        <v>90</v>
      </c>
      <c r="N40" s="34">
        <v>0</v>
      </c>
      <c r="O40" s="34">
        <v>0</v>
      </c>
      <c r="P40" s="34">
        <f t="shared" si="2"/>
        <v>0</v>
      </c>
      <c r="R40" s="33" t="s">
        <v>90</v>
      </c>
      <c r="S40" s="34">
        <v>0</v>
      </c>
      <c r="T40" s="34">
        <v>0</v>
      </c>
      <c r="U40" s="34">
        <f t="shared" si="3"/>
        <v>0</v>
      </c>
      <c r="Y40" s="29"/>
      <c r="Z40" s="29"/>
      <c r="AD40" s="29"/>
      <c r="AE40" s="29"/>
    </row>
    <row r="41" spans="2:31" x14ac:dyDescent="0.25">
      <c r="M41" s="33" t="s">
        <v>96</v>
      </c>
      <c r="N41" s="34">
        <v>0</v>
      </c>
      <c r="O41" s="34">
        <v>0</v>
      </c>
      <c r="P41" s="34">
        <f t="shared" si="2"/>
        <v>0</v>
      </c>
      <c r="R41" s="33" t="s">
        <v>96</v>
      </c>
      <c r="S41" s="34">
        <v>0</v>
      </c>
      <c r="T41" s="34">
        <v>0</v>
      </c>
      <c r="U41" s="34">
        <f t="shared" si="3"/>
        <v>0</v>
      </c>
      <c r="Y41" s="29"/>
      <c r="Z41" s="29"/>
      <c r="AD41" s="29"/>
      <c r="AE41" s="29"/>
    </row>
    <row r="42" spans="2:31" x14ac:dyDescent="0.25">
      <c r="M42" s="33" t="s">
        <v>97</v>
      </c>
      <c r="N42" s="34">
        <v>0</v>
      </c>
      <c r="O42" s="34">
        <v>0</v>
      </c>
      <c r="P42" s="34">
        <f t="shared" si="2"/>
        <v>0</v>
      </c>
      <c r="R42" s="33" t="s">
        <v>97</v>
      </c>
      <c r="S42" s="34">
        <v>0</v>
      </c>
      <c r="T42" s="34">
        <v>0</v>
      </c>
      <c r="U42" s="34">
        <f t="shared" si="3"/>
        <v>0</v>
      </c>
      <c r="Y42" s="29"/>
      <c r="Z42" s="29"/>
      <c r="AD42" s="29"/>
      <c r="AE42" s="29"/>
    </row>
    <row r="43" spans="2:31" x14ac:dyDescent="0.25">
      <c r="Y43" s="29"/>
      <c r="Z43" s="29"/>
      <c r="AD43" s="29"/>
      <c r="AE43" s="29"/>
    </row>
    <row r="44" spans="2:31" x14ac:dyDescent="0.25">
      <c r="Y44" s="29"/>
      <c r="Z44" s="29"/>
    </row>
  </sheetData>
  <autoFilter ref="R5:U42" xr:uid="{CD6C5064-D029-4982-9C03-6BDB75C18181}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F293E84F-3DB7-4B95-8236-67AC7C98919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AA7:AA16 AG7:AG16 AJ7:AJ16</xm:sqref>
        </x14:conditionalFormatting>
        <x14:conditionalFormatting xmlns:xm="http://schemas.microsoft.com/office/excel/2006/main">
          <x14:cfRule type="iconSet" priority="1" id="{619D2448-0E18-4AF2-BD93-C4E4CCADB1BB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AG23:AG32</xm:sqref>
        </x14:conditionalFormatting>
        <x14:conditionalFormatting xmlns:xm="http://schemas.microsoft.com/office/excel/2006/main">
          <x14:cfRule type="iconSet" priority="2" id="{1F0AE9C3-FD1B-466E-A789-59FB1655B3C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AO7:AO15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Positions</vt:lpstr>
      <vt:lpstr>PBI Open Positions</vt:lpstr>
      <vt:lpstr>Stock Selection</vt:lpstr>
      <vt:lpstr>PVT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walton</dc:creator>
  <cp:lastModifiedBy>Samuel Rodriguez Walton</cp:lastModifiedBy>
  <dcterms:created xsi:type="dcterms:W3CDTF">2015-06-05T18:17:20Z</dcterms:created>
  <dcterms:modified xsi:type="dcterms:W3CDTF">2025-06-25T13:52:39Z</dcterms:modified>
</cp:coreProperties>
</file>