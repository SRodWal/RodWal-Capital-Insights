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rodwals-my.sharepoint.com/personal/samuel_rodwal_com/Documents/Professional_WorkTools/Github/RodWal-Capital-Insights/Stock Analysis/RodWal Terminal/"/>
    </mc:Choice>
  </mc:AlternateContent>
  <xr:revisionPtr revIDLastSave="49" documentId="8_{CED6647D-C784-4C35-801B-5114A18723A6}" xr6:coauthVersionLast="47" xr6:coauthVersionMax="47" xr10:uidLastSave="{6C907E87-E423-4B25-B8D5-7337AC70A718}"/>
  <bookViews>
    <workbookView xWindow="3510" yWindow="3510" windowWidth="16410" windowHeight="10515" activeTab="4" xr2:uid="{00000000-000D-0000-FFFF-FFFF00000000}"/>
  </bookViews>
  <sheets>
    <sheet name="Initial Parameters" sheetId="1" r:id="rId1"/>
    <sheet name="Technical justification" sheetId="2" r:id="rId2"/>
    <sheet name="Project Schedule" sheetId="3" r:id="rId3"/>
    <sheet name="Development Quote" sheetId="4" r:id="rId4"/>
    <sheet name="APP Blueprint" sheetId="5" r:id="rId5"/>
    <sheet name="Deliverabl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E5" i="4"/>
  <c r="E6" i="4"/>
  <c r="E7" i="4"/>
  <c r="E8" i="4"/>
  <c r="E9" i="4"/>
  <c r="E10" i="4"/>
  <c r="E3" i="4"/>
  <c r="B8" i="1"/>
  <c r="F5" i="4" l="1"/>
  <c r="F6" i="4"/>
  <c r="F9" i="4"/>
  <c r="F4" i="4"/>
  <c r="F10" i="4"/>
  <c r="F7" i="4"/>
  <c r="F8" i="4"/>
  <c r="F3" i="4"/>
  <c r="F11" i="4" l="1"/>
</calcChain>
</file>

<file path=xl/sharedStrings.xml><?xml version="1.0" encoding="utf-8"?>
<sst xmlns="http://schemas.openxmlformats.org/spreadsheetml/2006/main" count="201" uniqueCount="190">
  <si>
    <t>## Initial Parameters</t>
  </si>
  <si>
    <t>Date</t>
  </si>
  <si>
    <t>(auto-set to today)</t>
  </si>
  <si>
    <t>Project Name</t>
  </si>
  <si>
    <t>RodWal Terminal — Quant Research &amp; Retail Investment Decision Support</t>
  </si>
  <si>
    <t>Sponsor/Cost Authority</t>
  </si>
  <si>
    <t>RodWal Capital Strategies</t>
  </si>
  <si>
    <t>Customer Name</t>
  </si>
  <si>
    <t>Internal / Pilot Users</t>
  </si>
  <si>
    <t>Time frame (WKs)</t>
  </si>
  <si>
    <t>Initial Date</t>
  </si>
  <si>
    <t>Editable</t>
  </si>
  <si>
    <t>Due Date</t>
  </si>
  <si>
    <t>Calculated = Initial Date + (Weeks*7)</t>
  </si>
  <si>
    <t>Development Rate (Internal)</t>
  </si>
  <si>
    <t>Set your hourly rate and currency</t>
  </si>
  <si>
    <t>Currency</t>
  </si>
  <si>
    <t>USD</t>
  </si>
  <si>
    <t>Change to HNL, MXN, etc. if needed</t>
  </si>
  <si>
    <t>## Technical justification</t>
  </si>
  <si>
    <t>Element</t>
  </si>
  <si>
    <t>Justification</t>
  </si>
  <si>
    <t>Python + Tkinter</t>
  </si>
  <si>
    <t>Lightweight, native desktop UI with minimal dependencies; ideal for an offline-capable terminal shell and fast iteration.</t>
  </si>
  <si>
    <t>pandas + numpy</t>
  </si>
  <si>
    <t>Core time-series and numerical stack for quote handling, portfolio analytics, factor construction, and risk metrics.</t>
  </si>
  <si>
    <t>yfinance (Yahoo Finance)</t>
  </si>
  <si>
    <t>Free, delayed market data suitable for prototypes and research; easily swappable with paid providers via an abstraction layer.</t>
  </si>
  <si>
    <t>Provider Abstraction (data_providers)</t>
  </si>
  <si>
    <t>Enables switching between Yahoo/Polygon/Tiingo/TwelveData without refactoring UI modules.</t>
  </si>
  <si>
    <t>SQLite / PostgreSQL</t>
  </si>
  <si>
    <t>SQLite for local cache and portability; PostgreSQL for multi-user, auditability, and scaling of historical data and results.</t>
  </si>
  <si>
    <t>Job Scheduler (APScheduler)</t>
  </si>
  <si>
    <t>Periodic tasks for quotes refresh, news polling, and overnight batch factors without blocking the UI thread.</t>
  </si>
  <si>
    <t>Caching (optional Redis)</t>
  </si>
  <si>
    <t>Faster repeat queries, rate-limit protection, and smoother UX when auto-refresh is enabled.</t>
  </si>
  <si>
    <t>Packaging (PyInstaller)</t>
  </si>
  <si>
    <t>Single-file or folder-based installer for Windows/macOS; simplifies pilot distribution to internal users.</t>
  </si>
  <si>
    <t>Testing (pytest)</t>
  </si>
  <si>
    <t>Unit/integration tests for symbol normalization, pricing pipelines, portfolio math, and screeners to ensure correctness.</t>
  </si>
  <si>
    <t>Logging + Telemetry</t>
  </si>
  <si>
    <t>Structured logs and optional anonymous telemetry to support troubleshooting and usage insights during the pilot.</t>
  </si>
  <si>
    <t>## Project Schedule</t>
  </si>
  <si>
    <t>Phase</t>
  </si>
  <si>
    <t>Duration</t>
  </si>
  <si>
    <t>Key Activities</t>
  </si>
  <si>
    <t>Owners</t>
  </si>
  <si>
    <t>1. Discovery &amp; Architecture</t>
  </si>
  <si>
    <t>Weeks 1–2</t>
  </si>
  <si>
    <t>Requirements; architecture; repo/CI; coding standards; risk register; success metrics.</t>
  </si>
  <si>
    <t>Tech Lead, Architect, Quant Lead</t>
  </si>
  <si>
    <t>2. Market Data &amp; Watchlist</t>
  </si>
  <si>
    <t>Weeks 3–4</t>
  </si>
  <si>
    <t>Batch quote service; normalization/aliases; TTL caching; config storage; MKT view with colorized table.</t>
  </si>
  <si>
    <t>Backend, Data Eng</t>
  </si>
  <si>
    <t>3. UI Shell &amp; Router</t>
  </si>
  <si>
    <t>Weeks 3–5</t>
  </si>
  <si>
    <t>Command router; async loaders; status/spinner; keyboard mnemonics; theming.</t>
  </si>
  <si>
    <t>Frontend (Tk), Tech Lead</t>
  </si>
  <si>
    <t>4. Portfolio &amp; Risk</t>
  </si>
  <si>
    <t>Weeks 5–8</t>
  </si>
  <si>
    <t>CSV import; valuation; P/L; weights; vol/Sharpe/ES; stress scenarios; persistence.</t>
  </si>
  <si>
    <t>Backend, Quant, QA</t>
  </si>
  <si>
    <t>5. Screener &amp; Factors</t>
  </si>
  <si>
    <t>Weeks 7–10</t>
  </si>
  <si>
    <t>Momentum (12-1), size, low-vol; filter builder; save/load screens; export.</t>
  </si>
  <si>
    <t>Quant, Backend</t>
  </si>
  <si>
    <t>6. Charts &amp; Symbol Card</t>
  </si>
  <si>
    <t>Weeks 8–12</t>
  </si>
  <si>
    <t>Sparklines; symbol card with 5D/1M/1Y performance; 52w H/L; basic fundamentals.</t>
  </si>
  <si>
    <t>Frontend, Backend</t>
  </si>
  <si>
    <t>7. News &amp; Econ Calendar</t>
  </si>
  <si>
    <t>Weeks 10–14</t>
  </si>
  <si>
    <t>RSS ingestion; keyword tagging; today/this-week calendar; local timezone.</t>
  </si>
  <si>
    <t>Backend, QA</t>
  </si>
  <si>
    <t>8. QA, Docs &amp; Packaging</t>
  </si>
  <si>
    <t>Weeks 14–16</t>
  </si>
  <si>
    <t>Test suites; user/tech docs; installer builds; pilot rollout; feedback loop.</t>
  </si>
  <si>
    <t>QA, DevOps, Tech Writer</t>
  </si>
  <si>
    <t>## Development Quote</t>
  </si>
  <si>
    <t>Module</t>
  </si>
  <si>
    <t>Feature</t>
  </si>
  <si>
    <t>Type</t>
  </si>
  <si>
    <t>Est HRs</t>
  </si>
  <si>
    <t>Rate</t>
  </si>
  <si>
    <t>Est. Cost</t>
  </si>
  <si>
    <t>Foundations</t>
  </si>
  <si>
    <t>Repo/CI, logging, config, theming</t>
  </si>
  <si>
    <t>Engineering</t>
  </si>
  <si>
    <t>Markets</t>
  </si>
  <si>
    <t>Batch quotes, aliases, caching, MKT view</t>
  </si>
  <si>
    <t>Portfolio</t>
  </si>
  <si>
    <t>Valuation, P/L, risk (vol, Sharpe, ES)</t>
  </si>
  <si>
    <t>Screener</t>
  </si>
  <si>
    <t>Filters + factors (momentum, size, low-vol)</t>
  </si>
  <si>
    <t>Charts</t>
  </si>
  <si>
    <t>Sparklines + symbol card</t>
  </si>
  <si>
    <t>News/Econ</t>
  </si>
  <si>
    <t>RSS + economic calendar</t>
  </si>
  <si>
    <t>Docs</t>
  </si>
  <si>
    <t>User guide + technical docs</t>
  </si>
  <si>
    <t>Documentation</t>
  </si>
  <si>
    <t>QA &amp; Packaging</t>
  </si>
  <si>
    <t>Tests, installer, pilot rollout</t>
  </si>
  <si>
    <t>Total:</t>
  </si>
  <si>
    <t>## APP Blueprint</t>
  </si>
  <si>
    <t>rodwal_terminal/</t>
  </si>
  <si>
    <t>core/</t>
  </si>
  <si>
    <t>data_providers/</t>
  </si>
  <si>
    <t>modules/</t>
  </si>
  <si>
    <t>ui/</t>
  </si>
  <si>
    <t>config/</t>
  </si>
  <si>
    <t>tests/</t>
  </si>
  <si>
    <t>Quality</t>
  </si>
  <si>
    <t>test_*.py</t>
  </si>
  <si>
    <t>## Deliverables</t>
  </si>
  <si>
    <t>Category</t>
  </si>
  <si>
    <t>Deliverable</t>
  </si>
  <si>
    <t>Description</t>
  </si>
  <si>
    <t>Codebase</t>
  </si>
  <si>
    <t>rodwal_terminal/ source</t>
  </si>
  <si>
    <t>Core, modules, providers, UI, tests</t>
  </si>
  <si>
    <t>Configuration</t>
  </si>
  <si>
    <t>settings.json, markets.json</t>
  </si>
  <si>
    <t>User-configurable paths, refresh intervals, watchlist</t>
  </si>
  <si>
    <t>Executable</t>
  </si>
  <si>
    <t>Installer (PyInstaller)</t>
  </si>
  <si>
    <t>Signed build for Windows/macOS for pilot users</t>
  </si>
  <si>
    <t>User Guide</t>
  </si>
  <si>
    <t>Commands, workflows, screenshots</t>
  </si>
  <si>
    <t>Technical Guide</t>
  </si>
  <si>
    <t>Architecture, data provider interfaces, deployment</t>
  </si>
  <si>
    <t>Test Suite</t>
  </si>
  <si>
    <t>Unit/integration tests with coverage report</t>
  </si>
  <si>
    <t>Operations</t>
  </si>
  <si>
    <t>Runbook</t>
  </si>
  <si>
    <t>Logging, troubleshooting, update/rollback procedures</t>
  </si>
  <si>
    <t>Analytics</t>
  </si>
  <si>
    <t>Sample Screeners &amp; Reports</t>
  </si>
  <si>
    <t>Saved filters, factor definitions, and example outputs</t>
  </si>
  <si>
    <t>(Project Root)</t>
  </si>
  <si>
    <t>Main application directory</t>
  </si>
  <si>
    <t>__init__.py</t>
  </si>
  <si>
    <t>Initialization file for core module</t>
  </si>
  <si>
    <t>theme.py</t>
  </si>
  <si>
    <t>Stores Terminal's colour palette</t>
  </si>
  <si>
    <t>config.py</t>
  </si>
  <si>
    <t>Application settings and configuration</t>
  </si>
  <si>
    <t>logging.py</t>
  </si>
  <si>
    <t>Logging setup and configuration</t>
  </si>
  <si>
    <t>scheduler.py</t>
  </si>
  <si>
    <t>Periodic job scheduler</t>
  </si>
  <si>
    <t>Initialization file for data providers</t>
  </si>
  <si>
    <t>base.py</t>
  </si>
  <si>
    <t>Base class for market data APIs</t>
  </si>
  <si>
    <t>yahoo.py</t>
  </si>
  <si>
    <t>Yahoo Finance integration</t>
  </si>
  <si>
    <r>
      <t>polygon.py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(optional)</t>
    </r>
  </si>
  <si>
    <t>Polygon.io integration</t>
  </si>
  <si>
    <t>Initialization file for domain modules</t>
  </si>
  <si>
    <t>markets.py</t>
  </si>
  <si>
    <t>Market overview and data logic</t>
  </si>
  <si>
    <t>portfolio.py</t>
  </si>
  <si>
    <t>Portfolio management logic</t>
  </si>
  <si>
    <t>screener.py</t>
  </si>
  <si>
    <t>Stock screener functionality</t>
  </si>
  <si>
    <t>news.py</t>
  </si>
  <si>
    <t>News aggregation and processing</t>
  </si>
  <si>
    <t>econ.py</t>
  </si>
  <si>
    <t>Economic indicators and data</t>
  </si>
  <si>
    <t>terminal.py</t>
  </si>
  <si>
    <t>Tkinter shell and command router</t>
  </si>
  <si>
    <t>views/</t>
  </si>
  <si>
    <t>UI views and widgets</t>
  </si>
  <si>
    <t>views/*.py</t>
  </si>
  <si>
    <t>Individual view components</t>
  </si>
  <si>
    <t>markets.json</t>
  </si>
  <si>
    <t>Market watchlist configuration</t>
  </si>
  <si>
    <t>settings.json</t>
  </si>
  <si>
    <t>User preferences and settings</t>
  </si>
  <si>
    <t>Unit and integration tests</t>
  </si>
  <si>
    <t>Folder Structure</t>
  </si>
  <si>
    <t>charts.py</t>
  </si>
  <si>
    <t>Displays financial information in charts</t>
  </si>
  <si>
    <t>helper_extensions.py</t>
  </si>
  <si>
    <t>Stores helper functions (e.i Format $T, $B, $M..)</t>
  </si>
  <si>
    <t>FinancialModelingPrep.py</t>
  </si>
  <si>
    <t>FMP API Integration</t>
  </si>
  <si>
    <t>portfolio.json</t>
  </si>
  <si>
    <t>Portfolio configurations (Depoits Phasing &amp; Resource allocation)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</si>
</sst>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D20" sqref="D20"/>
    </sheetView>
  </sheetViews>
  <sheetFormatPr defaultRowHeight="15" x14ac:dyDescent="0.25"/>
  <cols>
    <col min="1" max="1" width="28" customWidth="1"/>
    <col min="2" max="2" width="70" customWidth="1"/>
    <col min="3" max="3" width="38" customWidth="1"/>
  </cols>
  <sheetData>
    <row r="1" spans="1:3" x14ac:dyDescent="0.25">
      <c r="A1" s="1" t="s">
        <v>0</v>
      </c>
      <c r="B1" s="2"/>
      <c r="C1" s="2"/>
    </row>
    <row r="2" spans="1:3" x14ac:dyDescent="0.25">
      <c r="A2" t="s">
        <v>1</v>
      </c>
      <c r="B2" s="3">
        <v>45922</v>
      </c>
      <c r="C2" t="s">
        <v>2</v>
      </c>
    </row>
    <row r="3" spans="1:3" x14ac:dyDescent="0.25">
      <c r="A3" t="s">
        <v>3</v>
      </c>
      <c r="B3" t="s">
        <v>4</v>
      </c>
    </row>
    <row r="4" spans="1:3" x14ac:dyDescent="0.25">
      <c r="A4" t="s">
        <v>5</v>
      </c>
      <c r="B4" t="s">
        <v>6</v>
      </c>
    </row>
    <row r="5" spans="1:3" x14ac:dyDescent="0.25">
      <c r="A5" t="s">
        <v>7</v>
      </c>
      <c r="B5" t="s">
        <v>8</v>
      </c>
    </row>
    <row r="6" spans="1:3" x14ac:dyDescent="0.25">
      <c r="A6" t="s">
        <v>9</v>
      </c>
      <c r="B6">
        <v>16</v>
      </c>
    </row>
    <row r="7" spans="1:3" x14ac:dyDescent="0.25">
      <c r="A7" t="s">
        <v>10</v>
      </c>
      <c r="B7" s="3">
        <v>45922</v>
      </c>
      <c r="C7" t="s">
        <v>11</v>
      </c>
    </row>
    <row r="8" spans="1:3" x14ac:dyDescent="0.25">
      <c r="A8" t="s">
        <v>12</v>
      </c>
      <c r="B8" s="3">
        <f>B7 + (B6*7)</f>
        <v>46034</v>
      </c>
      <c r="C8" t="s">
        <v>13</v>
      </c>
    </row>
    <row r="9" spans="1:3" x14ac:dyDescent="0.25">
      <c r="A9" t="s">
        <v>14</v>
      </c>
      <c r="B9">
        <v>20</v>
      </c>
      <c r="C9" t="s">
        <v>15</v>
      </c>
    </row>
    <row r="10" spans="1:3" x14ac:dyDescent="0.25">
      <c r="A10" t="s">
        <v>16</v>
      </c>
      <c r="B10" t="s">
        <v>17</v>
      </c>
      <c r="C10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19" sqref="B19"/>
    </sheetView>
  </sheetViews>
  <sheetFormatPr defaultRowHeight="15" x14ac:dyDescent="0.25"/>
  <cols>
    <col min="1" max="1" width="32" customWidth="1"/>
    <col min="2" max="2" width="95" customWidth="1"/>
  </cols>
  <sheetData>
    <row r="1" spans="1:2" x14ac:dyDescent="0.25">
      <c r="A1" s="4" t="s">
        <v>19</v>
      </c>
    </row>
    <row r="2" spans="1:2" x14ac:dyDescent="0.25">
      <c r="A2" s="4" t="s">
        <v>20</v>
      </c>
      <c r="B2" s="4" t="s">
        <v>21</v>
      </c>
    </row>
    <row r="3" spans="1:2" x14ac:dyDescent="0.25">
      <c r="A3" t="s">
        <v>22</v>
      </c>
      <c r="B3" t="s">
        <v>23</v>
      </c>
    </row>
    <row r="4" spans="1:2" x14ac:dyDescent="0.25">
      <c r="A4" t="s">
        <v>24</v>
      </c>
      <c r="B4" t="s">
        <v>25</v>
      </c>
    </row>
    <row r="5" spans="1:2" x14ac:dyDescent="0.25">
      <c r="A5" t="s">
        <v>26</v>
      </c>
      <c r="B5" t="s">
        <v>27</v>
      </c>
    </row>
    <row r="6" spans="1:2" x14ac:dyDescent="0.25">
      <c r="A6" t="s">
        <v>28</v>
      </c>
      <c r="B6" t="s">
        <v>29</v>
      </c>
    </row>
    <row r="7" spans="1:2" x14ac:dyDescent="0.25">
      <c r="A7" t="s">
        <v>30</v>
      </c>
      <c r="B7" t="s">
        <v>31</v>
      </c>
    </row>
    <row r="8" spans="1:2" x14ac:dyDescent="0.25">
      <c r="A8" t="s">
        <v>32</v>
      </c>
      <c r="B8" t="s">
        <v>33</v>
      </c>
    </row>
    <row r="9" spans="1:2" x14ac:dyDescent="0.25">
      <c r="A9" t="s">
        <v>34</v>
      </c>
      <c r="B9" t="s">
        <v>35</v>
      </c>
    </row>
    <row r="10" spans="1:2" x14ac:dyDescent="0.25">
      <c r="A10" t="s">
        <v>36</v>
      </c>
      <c r="B10" t="s">
        <v>37</v>
      </c>
    </row>
    <row r="11" spans="1:2" x14ac:dyDescent="0.25">
      <c r="A11" t="s">
        <v>38</v>
      </c>
      <c r="B11" t="s">
        <v>39</v>
      </c>
    </row>
    <row r="12" spans="1:2" x14ac:dyDescent="0.25">
      <c r="A12" t="s">
        <v>40</v>
      </c>
      <c r="B12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5" x14ac:dyDescent="0.25"/>
  <cols>
    <col min="1" max="1" width="32" customWidth="1"/>
    <col min="2" max="2" width="16" customWidth="1"/>
    <col min="3" max="3" width="95" customWidth="1"/>
    <col min="4" max="4" width="40" customWidth="1"/>
  </cols>
  <sheetData>
    <row r="1" spans="1:4" x14ac:dyDescent="0.25">
      <c r="A1" s="4" t="s">
        <v>42</v>
      </c>
    </row>
    <row r="2" spans="1:4" x14ac:dyDescent="0.25">
      <c r="A2" s="4" t="s">
        <v>43</v>
      </c>
      <c r="B2" s="4" t="s">
        <v>44</v>
      </c>
      <c r="C2" s="4" t="s">
        <v>45</v>
      </c>
      <c r="D2" s="4" t="s">
        <v>46</v>
      </c>
    </row>
    <row r="3" spans="1:4" x14ac:dyDescent="0.25">
      <c r="A3" t="s">
        <v>47</v>
      </c>
      <c r="B3" t="s">
        <v>48</v>
      </c>
      <c r="C3" t="s">
        <v>49</v>
      </c>
      <c r="D3" t="s">
        <v>50</v>
      </c>
    </row>
    <row r="4" spans="1:4" x14ac:dyDescent="0.25">
      <c r="A4" t="s">
        <v>51</v>
      </c>
      <c r="B4" t="s">
        <v>52</v>
      </c>
      <c r="C4" t="s">
        <v>53</v>
      </c>
      <c r="D4" t="s">
        <v>54</v>
      </c>
    </row>
    <row r="5" spans="1:4" x14ac:dyDescent="0.25">
      <c r="A5" t="s">
        <v>55</v>
      </c>
      <c r="B5" t="s">
        <v>56</v>
      </c>
      <c r="C5" t="s">
        <v>57</v>
      </c>
      <c r="D5" t="s">
        <v>58</v>
      </c>
    </row>
    <row r="6" spans="1:4" x14ac:dyDescent="0.25">
      <c r="A6" t="s">
        <v>59</v>
      </c>
      <c r="B6" t="s">
        <v>60</v>
      </c>
      <c r="C6" t="s">
        <v>61</v>
      </c>
      <c r="D6" t="s">
        <v>62</v>
      </c>
    </row>
    <row r="7" spans="1:4" x14ac:dyDescent="0.25">
      <c r="A7" t="s">
        <v>63</v>
      </c>
      <c r="B7" t="s">
        <v>64</v>
      </c>
      <c r="C7" t="s">
        <v>65</v>
      </c>
      <c r="D7" t="s">
        <v>66</v>
      </c>
    </row>
    <row r="8" spans="1:4" x14ac:dyDescent="0.25">
      <c r="A8" t="s">
        <v>67</v>
      </c>
      <c r="B8" t="s">
        <v>68</v>
      </c>
      <c r="C8" t="s">
        <v>69</v>
      </c>
      <c r="D8" t="s">
        <v>70</v>
      </c>
    </row>
    <row r="9" spans="1:4" x14ac:dyDescent="0.25">
      <c r="A9" t="s">
        <v>71</v>
      </c>
      <c r="B9" t="s">
        <v>72</v>
      </c>
      <c r="C9" t="s">
        <v>73</v>
      </c>
      <c r="D9" t="s">
        <v>74</v>
      </c>
    </row>
    <row r="10" spans="1:4" x14ac:dyDescent="0.25">
      <c r="A10" t="s">
        <v>75</v>
      </c>
      <c r="B10" t="s">
        <v>76</v>
      </c>
      <c r="C10" t="s">
        <v>77</v>
      </c>
      <c r="D10" t="s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E14" sqref="E14"/>
    </sheetView>
  </sheetViews>
  <sheetFormatPr defaultRowHeight="15" x14ac:dyDescent="0.25"/>
  <cols>
    <col min="1" max="1" width="22" customWidth="1"/>
    <col min="2" max="2" width="40" customWidth="1"/>
    <col min="3" max="3" width="18" customWidth="1"/>
    <col min="4" max="4" width="12" customWidth="1"/>
    <col min="5" max="5" width="14" customWidth="1"/>
    <col min="6" max="6" width="16" customWidth="1"/>
  </cols>
  <sheetData>
    <row r="1" spans="1:6" x14ac:dyDescent="0.25">
      <c r="A1" s="4" t="s">
        <v>79</v>
      </c>
    </row>
    <row r="2" spans="1:6" x14ac:dyDescent="0.25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</row>
    <row r="3" spans="1:6" x14ac:dyDescent="0.25">
      <c r="A3" t="s">
        <v>86</v>
      </c>
      <c r="B3" t="s">
        <v>87</v>
      </c>
      <c r="C3" t="s">
        <v>88</v>
      </c>
      <c r="E3">
        <f>'Initial Parameters'!$B$9</f>
        <v>20</v>
      </c>
      <c r="F3">
        <f t="shared" ref="F3:F10" si="0">IFERROR(D3*E3,0)</f>
        <v>0</v>
      </c>
    </row>
    <row r="4" spans="1:6" x14ac:dyDescent="0.25">
      <c r="A4" t="s">
        <v>89</v>
      </c>
      <c r="B4" t="s">
        <v>90</v>
      </c>
      <c r="C4" t="s">
        <v>81</v>
      </c>
      <c r="E4">
        <f>'Initial Parameters'!$B$9</f>
        <v>20</v>
      </c>
      <c r="F4">
        <f t="shared" si="0"/>
        <v>0</v>
      </c>
    </row>
    <row r="5" spans="1:6" x14ac:dyDescent="0.25">
      <c r="A5" t="s">
        <v>91</v>
      </c>
      <c r="B5" t="s">
        <v>92</v>
      </c>
      <c r="C5" t="s">
        <v>81</v>
      </c>
      <c r="E5">
        <f>'Initial Parameters'!$B$9</f>
        <v>20</v>
      </c>
      <c r="F5">
        <f t="shared" si="0"/>
        <v>0</v>
      </c>
    </row>
    <row r="6" spans="1:6" x14ac:dyDescent="0.25">
      <c r="A6" t="s">
        <v>93</v>
      </c>
      <c r="B6" t="s">
        <v>94</v>
      </c>
      <c r="C6" t="s">
        <v>81</v>
      </c>
      <c r="E6">
        <f>'Initial Parameters'!$B$9</f>
        <v>20</v>
      </c>
      <c r="F6">
        <f t="shared" si="0"/>
        <v>0</v>
      </c>
    </row>
    <row r="7" spans="1:6" x14ac:dyDescent="0.25">
      <c r="A7" t="s">
        <v>95</v>
      </c>
      <c r="B7" t="s">
        <v>96</v>
      </c>
      <c r="C7" t="s">
        <v>81</v>
      </c>
      <c r="E7">
        <f>'Initial Parameters'!$B$9</f>
        <v>20</v>
      </c>
      <c r="F7">
        <f t="shared" si="0"/>
        <v>0</v>
      </c>
    </row>
    <row r="8" spans="1:6" x14ac:dyDescent="0.25">
      <c r="A8" t="s">
        <v>97</v>
      </c>
      <c r="B8" t="s">
        <v>98</v>
      </c>
      <c r="C8" t="s">
        <v>81</v>
      </c>
      <c r="E8">
        <f>'Initial Parameters'!$B$9</f>
        <v>20</v>
      </c>
      <c r="F8">
        <f t="shared" si="0"/>
        <v>0</v>
      </c>
    </row>
    <row r="9" spans="1:6" x14ac:dyDescent="0.25">
      <c r="A9" t="s">
        <v>99</v>
      </c>
      <c r="B9" t="s">
        <v>100</v>
      </c>
      <c r="C9" t="s">
        <v>101</v>
      </c>
      <c r="E9">
        <f>'Initial Parameters'!$B$9</f>
        <v>20</v>
      </c>
      <c r="F9">
        <f t="shared" si="0"/>
        <v>0</v>
      </c>
    </row>
    <row r="10" spans="1:6" x14ac:dyDescent="0.25">
      <c r="A10" t="s">
        <v>102</v>
      </c>
      <c r="B10" t="s">
        <v>103</v>
      </c>
      <c r="C10" t="s">
        <v>88</v>
      </c>
      <c r="E10">
        <f>'Initial Parameters'!$B$9</f>
        <v>20</v>
      </c>
      <c r="F10">
        <f t="shared" si="0"/>
        <v>0</v>
      </c>
    </row>
    <row r="11" spans="1:6" x14ac:dyDescent="0.25">
      <c r="E11" s="4" t="s">
        <v>104</v>
      </c>
      <c r="F11" s="4">
        <f>SUM(F3:F10)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8"/>
  <sheetViews>
    <sheetView tabSelected="1" workbookViewId="0">
      <selection activeCell="E12" sqref="E12"/>
    </sheetView>
  </sheetViews>
  <sheetFormatPr defaultRowHeight="15" x14ac:dyDescent="0.25"/>
  <cols>
    <col min="1" max="1" width="16.7109375" bestFit="1" customWidth="1"/>
    <col min="2" max="2" width="15.28515625" bestFit="1" customWidth="1"/>
    <col min="3" max="3" width="24.5703125" bestFit="1" customWidth="1"/>
    <col min="4" max="4" width="35.42578125" bestFit="1" customWidth="1"/>
    <col min="5" max="5" width="16.7109375" customWidth="1"/>
    <col min="6" max="6" width="20.5703125" bestFit="1" customWidth="1"/>
    <col min="7" max="7" width="20.5703125" customWidth="1"/>
    <col min="8" max="8" width="35.42578125" bestFit="1" customWidth="1"/>
  </cols>
  <sheetData>
    <row r="1" spans="1:4" x14ac:dyDescent="0.25">
      <c r="A1" s="4" t="s">
        <v>105</v>
      </c>
    </row>
    <row r="2" spans="1:4" x14ac:dyDescent="0.25">
      <c r="A2" s="6" t="s">
        <v>181</v>
      </c>
      <c r="B2" s="6"/>
      <c r="C2" s="6"/>
      <c r="D2" s="5" t="s">
        <v>118</v>
      </c>
    </row>
    <row r="3" spans="1:4" x14ac:dyDescent="0.25">
      <c r="A3" t="s">
        <v>106</v>
      </c>
      <c r="C3" t="s">
        <v>140</v>
      </c>
      <c r="D3" t="s">
        <v>141</v>
      </c>
    </row>
    <row r="4" spans="1:4" x14ac:dyDescent="0.25">
      <c r="B4" t="s">
        <v>107</v>
      </c>
      <c r="C4" t="s">
        <v>142</v>
      </c>
      <c r="D4" t="s">
        <v>143</v>
      </c>
    </row>
    <row r="5" spans="1:4" x14ac:dyDescent="0.25">
      <c r="C5" t="s">
        <v>144</v>
      </c>
      <c r="D5" t="s">
        <v>145</v>
      </c>
    </row>
    <row r="6" spans="1:4" x14ac:dyDescent="0.25">
      <c r="C6" t="s">
        <v>146</v>
      </c>
      <c r="D6" t="s">
        <v>147</v>
      </c>
    </row>
    <row r="7" spans="1:4" x14ac:dyDescent="0.25">
      <c r="C7" t="s">
        <v>148</v>
      </c>
      <c r="D7" t="s">
        <v>149</v>
      </c>
    </row>
    <row r="8" spans="1:4" x14ac:dyDescent="0.25">
      <c r="C8" t="s">
        <v>150</v>
      </c>
      <c r="D8" t="s">
        <v>151</v>
      </c>
    </row>
    <row r="9" spans="1:4" x14ac:dyDescent="0.25">
      <c r="C9" t="s">
        <v>184</v>
      </c>
      <c r="D9" t="s">
        <v>185</v>
      </c>
    </row>
    <row r="10" spans="1:4" x14ac:dyDescent="0.25">
      <c r="B10" t="s">
        <v>108</v>
      </c>
      <c r="C10" t="s">
        <v>142</v>
      </c>
      <c r="D10" t="s">
        <v>152</v>
      </c>
    </row>
    <row r="11" spans="1:4" x14ac:dyDescent="0.25">
      <c r="C11" t="s">
        <v>153</v>
      </c>
      <c r="D11" t="s">
        <v>154</v>
      </c>
    </row>
    <row r="12" spans="1:4" x14ac:dyDescent="0.25">
      <c r="C12" t="s">
        <v>155</v>
      </c>
      <c r="D12" t="s">
        <v>156</v>
      </c>
    </row>
    <row r="13" spans="1:4" x14ac:dyDescent="0.25">
      <c r="C13" t="s">
        <v>186</v>
      </c>
      <c r="D13" t="s">
        <v>187</v>
      </c>
    </row>
    <row r="14" spans="1:4" x14ac:dyDescent="0.25">
      <c r="C14" t="s">
        <v>157</v>
      </c>
      <c r="D14" t="s">
        <v>158</v>
      </c>
    </row>
    <row r="15" spans="1:4" x14ac:dyDescent="0.25">
      <c r="B15" t="s">
        <v>109</v>
      </c>
      <c r="C15" t="s">
        <v>142</v>
      </c>
      <c r="D15" t="s">
        <v>159</v>
      </c>
    </row>
    <row r="16" spans="1:4" x14ac:dyDescent="0.25">
      <c r="C16" t="s">
        <v>160</v>
      </c>
      <c r="D16" t="s">
        <v>161</v>
      </c>
    </row>
    <row r="17" spans="2:4" x14ac:dyDescent="0.25">
      <c r="C17" t="s">
        <v>182</v>
      </c>
      <c r="D17" t="s">
        <v>183</v>
      </c>
    </row>
    <row r="18" spans="2:4" x14ac:dyDescent="0.25">
      <c r="C18" t="s">
        <v>162</v>
      </c>
      <c r="D18" t="s">
        <v>163</v>
      </c>
    </row>
    <row r="19" spans="2:4" x14ac:dyDescent="0.25">
      <c r="C19" t="s">
        <v>164</v>
      </c>
      <c r="D19" t="s">
        <v>165</v>
      </c>
    </row>
    <row r="20" spans="2:4" x14ac:dyDescent="0.25">
      <c r="C20" t="s">
        <v>166</v>
      </c>
      <c r="D20" t="s">
        <v>167</v>
      </c>
    </row>
    <row r="21" spans="2:4" x14ac:dyDescent="0.25">
      <c r="C21" t="s">
        <v>168</v>
      </c>
      <c r="D21" t="s">
        <v>169</v>
      </c>
    </row>
    <row r="22" spans="2:4" x14ac:dyDescent="0.25">
      <c r="B22" t="s">
        <v>110</v>
      </c>
      <c r="C22" t="s">
        <v>170</v>
      </c>
      <c r="D22" t="s">
        <v>171</v>
      </c>
    </row>
    <row r="23" spans="2:4" x14ac:dyDescent="0.25">
      <c r="C23" t="s">
        <v>172</v>
      </c>
      <c r="D23" t="s">
        <v>173</v>
      </c>
    </row>
    <row r="24" spans="2:4" x14ac:dyDescent="0.25">
      <c r="C24" t="s">
        <v>174</v>
      </c>
      <c r="D24" t="s">
        <v>175</v>
      </c>
    </row>
    <row r="25" spans="2:4" x14ac:dyDescent="0.25">
      <c r="B25" t="s">
        <v>111</v>
      </c>
      <c r="C25" t="s">
        <v>176</v>
      </c>
      <c r="D25" t="s">
        <v>177</v>
      </c>
    </row>
    <row r="26" spans="2:4" x14ac:dyDescent="0.25">
      <c r="C26" t="s">
        <v>188</v>
      </c>
      <c r="D26" t="s">
        <v>189</v>
      </c>
    </row>
    <row r="27" spans="2:4" x14ac:dyDescent="0.25">
      <c r="C27" t="s">
        <v>178</v>
      </c>
      <c r="D27" t="s">
        <v>179</v>
      </c>
    </row>
    <row r="28" spans="2:4" x14ac:dyDescent="0.25">
      <c r="B28" t="s">
        <v>112</v>
      </c>
      <c r="C28" t="s">
        <v>114</v>
      </c>
      <c r="D28" t="s">
        <v>180</v>
      </c>
    </row>
  </sheetData>
  <mergeCells count="1"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selection activeCell="C24" sqref="C24"/>
    </sheetView>
  </sheetViews>
  <sheetFormatPr defaultRowHeight="15" x14ac:dyDescent="0.25"/>
  <cols>
    <col min="1" max="1" width="20" customWidth="1"/>
    <col min="2" max="2" width="34" customWidth="1"/>
    <col min="3" max="3" width="80" customWidth="1"/>
  </cols>
  <sheetData>
    <row r="1" spans="1:3" x14ac:dyDescent="0.25">
      <c r="A1" s="4" t="s">
        <v>115</v>
      </c>
    </row>
    <row r="2" spans="1:3" x14ac:dyDescent="0.25">
      <c r="A2" s="4" t="s">
        <v>116</v>
      </c>
      <c r="B2" s="4" t="s">
        <v>117</v>
      </c>
      <c r="C2" s="4" t="s">
        <v>118</v>
      </c>
    </row>
    <row r="3" spans="1:3" x14ac:dyDescent="0.25">
      <c r="A3" t="s">
        <v>119</v>
      </c>
      <c r="B3" t="s">
        <v>120</v>
      </c>
      <c r="C3" t="s">
        <v>121</v>
      </c>
    </row>
    <row r="4" spans="1:3" x14ac:dyDescent="0.25">
      <c r="A4" t="s">
        <v>122</v>
      </c>
      <c r="B4" t="s">
        <v>123</v>
      </c>
      <c r="C4" t="s">
        <v>124</v>
      </c>
    </row>
    <row r="5" spans="1:3" x14ac:dyDescent="0.25">
      <c r="A5" t="s">
        <v>125</v>
      </c>
      <c r="B5" t="s">
        <v>126</v>
      </c>
      <c r="C5" t="s">
        <v>127</v>
      </c>
    </row>
    <row r="6" spans="1:3" x14ac:dyDescent="0.25">
      <c r="A6" t="s">
        <v>101</v>
      </c>
      <c r="B6" t="s">
        <v>128</v>
      </c>
      <c r="C6" t="s">
        <v>129</v>
      </c>
    </row>
    <row r="7" spans="1:3" x14ac:dyDescent="0.25">
      <c r="A7" t="s">
        <v>101</v>
      </c>
      <c r="B7" t="s">
        <v>130</v>
      </c>
      <c r="C7" t="s">
        <v>131</v>
      </c>
    </row>
    <row r="8" spans="1:3" x14ac:dyDescent="0.25">
      <c r="A8" t="s">
        <v>113</v>
      </c>
      <c r="B8" t="s">
        <v>132</v>
      </c>
      <c r="C8" t="s">
        <v>133</v>
      </c>
    </row>
    <row r="9" spans="1:3" x14ac:dyDescent="0.25">
      <c r="A9" t="s">
        <v>134</v>
      </c>
      <c r="B9" t="s">
        <v>135</v>
      </c>
      <c r="C9" t="s">
        <v>136</v>
      </c>
    </row>
    <row r="10" spans="1:3" x14ac:dyDescent="0.25">
      <c r="A10" t="s">
        <v>137</v>
      </c>
      <c r="B10" t="s">
        <v>138</v>
      </c>
      <c r="C10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Initial Parameters</vt:lpstr>
      <vt:lpstr>Technical justification</vt:lpstr>
      <vt:lpstr>Project Schedule</vt:lpstr>
      <vt:lpstr>Development Quote</vt:lpstr>
      <vt:lpstr>APP Blueprint</vt:lpstr>
      <vt:lpstr>Deliverables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Rodriguez Walton</cp:lastModifiedBy>
  <dcterms:created xsi:type="dcterms:W3CDTF">2025-09-22T20:51:10Z</dcterms:created>
  <dcterms:modified xsi:type="dcterms:W3CDTF">2025-11-24T15:19:38Z</dcterms:modified>
</cp:coreProperties>
</file>